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53.xml" ContentType="application/vnd.openxmlformats-officedocument.spreadsheetml.worksheet+xml"/>
  <Override PartName="/xl/worksheets/sheet71.xml" ContentType="application/vnd.openxmlformats-officedocument.spreadsheetml.worksheet+xml"/>
  <Override PartName="/xl/worksheets/sheet82.xml" ContentType="application/vnd.openxmlformats-officedocument.spreadsheetml.worksheet+xml"/>
  <Override PartName="/xl/worksheets/sheet13.xml" ContentType="application/vnd.openxmlformats-officedocument.spreadsheetml.worksheet+xml"/>
  <Override PartName="/xl/worksheets/sheet42.xml" ContentType="application/vnd.openxmlformats-officedocument.spreadsheetml.worksheet+xml"/>
  <Override PartName="/xl/worksheets/sheet60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89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69.xml" ContentType="application/vnd.openxmlformats-officedocument.spreadsheetml.worksheet+xml"/>
  <Override PartName="/xl/worksheets/sheet78.xml" ContentType="application/vnd.openxmlformats-officedocument.spreadsheetml.worksheet+xml"/>
  <Override PartName="/xl/worksheets/sheet87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7.xml" ContentType="application/vnd.openxmlformats-officedocument.spreadsheetml.worksheet+xml"/>
  <Override PartName="/xl/worksheets/sheet76.xml" ContentType="application/vnd.openxmlformats-officedocument.spreadsheetml.worksheet+xml"/>
  <Override PartName="/xl/worksheets/sheet85.xml" ContentType="application/vnd.openxmlformats-officedocument.spreadsheetml.worksheet+xml"/>
  <Override PartName="/xl/worksheets/sheet94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4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6.xml" ContentType="application/vnd.openxmlformats-officedocument.spreadsheetml.worksheet+xml"/>
  <Override PartName="/xl/worksheets/sheet65.xml" ContentType="application/vnd.openxmlformats-officedocument.spreadsheetml.worksheet+xml"/>
  <Override PartName="/xl/worksheets/sheet74.xml" ContentType="application/vnd.openxmlformats-officedocument.spreadsheetml.worksheet+xml"/>
  <Override PartName="/xl/worksheets/sheet83.xml" ContentType="application/vnd.openxmlformats-officedocument.spreadsheetml.worksheet+xml"/>
  <Override PartName="/xl/worksheets/sheet92.xml" ContentType="application/vnd.openxmlformats-officedocument.spreadsheetml.workshee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1.xml" ContentType="application/vnd.openxmlformats-officedocument.spreadsheetml.worksheet+xml"/>
  <Override PartName="/xl/worksheets/sheet90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9.xml" ContentType="application/vnd.openxmlformats-officedocument.spreadsheetml.worksheet+xml"/>
  <Override PartName="/xl/worksheets/sheet6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9.xml" ContentType="application/vnd.openxmlformats-officedocument.spreadsheetml.worksheet+xml"/>
  <Override PartName="/xl/worksheets/sheet88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worksheets/sheet66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95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55.xml" ContentType="application/vnd.openxmlformats-officedocument.spreadsheetml.worksheet+xml"/>
  <Override PartName="/xl/worksheets/sheet64.xml" ContentType="application/vnd.openxmlformats-officedocument.spreadsheetml.worksheet+xml"/>
  <Override PartName="/xl/worksheets/sheet73.xml" ContentType="application/vnd.openxmlformats-officedocument.spreadsheetml.worksheet+xml"/>
  <Override PartName="/xl/worksheets/sheet84.xml" ContentType="application/vnd.openxmlformats-officedocument.spreadsheetml.worksheet+xml"/>
  <Override PartName="/xl/worksheets/sheet93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worksheets/sheet91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ЭтаКнига"/>
  <bookViews>
    <workbookView xWindow="-28920" yWindow="-120" windowWidth="29040" windowHeight="15720" tabRatio="802" activeTab="1"/>
  </bookViews>
  <sheets>
    <sheet name="TABLE" sheetId="55" r:id="rId1"/>
    <sheet name="REN_AER 07_2026" sheetId="46" r:id="rId2"/>
    <sheet name="REN_RGK 08_2024" sheetId="87" r:id="rId3"/>
    <sheet name="REN80_SVO 04_2026" sheetId="25" r:id="rId4"/>
    <sheet name="REN82_SVO 03_2024" sheetId="54" r:id="rId5"/>
    <sheet name="REN84_SVO 10_2024" sheetId="88" r:id="rId6"/>
    <sheet name="REN78_SVO 04_2026" sheetId="53" r:id="rId7"/>
    <sheet name="REN_LED 07_2026" sheetId="26" r:id="rId8"/>
    <sheet name="REN_MCX 10_2024" sheetId="4" r:id="rId9"/>
    <sheet name="REN_MRV 03_2025" sheetId="45" r:id="rId10"/>
    <sheet name="REN_MQF 10_2025" sheetId="100" r:id="rId11"/>
    <sheet name="REN_KGD 10_2025" sheetId="5" r:id="rId12"/>
    <sheet name="REN_KZN 03_2025" sheetId="90" r:id="rId13"/>
    <sheet name="REN_LBD 05_2024" sheetId="43" r:id="rId14"/>
    <sheet name="REN_DYU 05_2024" sheetId="28" r:id="rId15"/>
    <sheet name="OSS_UFA 03_2024" sheetId="29" r:id="rId16"/>
    <sheet name="OSS_TJM 07_2026" sheetId="30" r:id="rId17"/>
    <sheet name="OSS_OMS" sheetId="9" r:id="rId18"/>
    <sheet name="OSS_KUF 03_2024" sheetId="32" r:id="rId19"/>
    <sheet name="OSS_KEJ" sheetId="11" r:id="rId20"/>
    <sheet name="OSS_KJA 06_2023" sheetId="33" r:id="rId21"/>
    <sheet name="LBD_TJM 05_26" sheetId="102" r:id="rId22"/>
    <sheet name="LBD_UFA 07_2026" sheetId="34" r:id="rId23"/>
    <sheet name="LBD_KZN 07_2026" sheetId="35" r:id="rId24"/>
    <sheet name="LBD_REN 05_2024" sheetId="44" r:id="rId25"/>
    <sheet name="HOG_SVO 02_26" sheetId="104" r:id="rId26"/>
    <sheet name="HRG_SVO 10_2023" sheetId="51" r:id="rId27"/>
    <sheet name="KQT_SVO 07_2026" sheetId="31" r:id="rId28"/>
    <sheet name="KQT_KZN 07_2026" sheetId="89" r:id="rId29"/>
    <sheet name="KQT_UFA 07_2026" sheetId="114" r:id="rId30"/>
    <sheet name="KQT_KJA 07_2023" sheetId="36" r:id="rId31"/>
    <sheet name="DYU_UFA 07_2026" sheetId="37" r:id="rId32"/>
    <sheet name="DYU_KZN 07_2026" sheetId="38" r:id="rId33"/>
    <sheet name="DYU_KUF 03_2024" sheetId="39" r:id="rId34"/>
    <sheet name="DYU_REN 05_2024" sheetId="40" r:id="rId35"/>
    <sheet name="DYU_TJM 07_2026" sheetId="103" r:id="rId36"/>
    <sheet name="CCC_SVO 02_2026" sheetId="41" r:id="rId37"/>
    <sheet name="GOX_SVO 03_26" sheetId="112" r:id="rId38"/>
    <sheet name="GOX_SVX 03_26" sheetId="111" r:id="rId39"/>
    <sheet name="VRA_SVO 02_2026" sheetId="42" r:id="rId40"/>
    <sheet name="VRA_SVO 6102 12_2025" sheetId="99" r:id="rId41"/>
    <sheet name="PMV_SVO 12_2025" sheetId="23" r:id="rId42"/>
    <sheet name="UTP_KJA 04_2026" sheetId="105" r:id="rId43"/>
    <sheet name="UTP_OVB 04_2026" sheetId="108" r:id="rId44"/>
    <sheet name="UTP_SVO 01_26" sheetId="110" r:id="rId45"/>
    <sheet name="UTP_SVX 04_26" sheetId="107" r:id="rId46"/>
    <sheet name="SSH_KZN 01_2026" sheetId="47" r:id="rId47"/>
    <sheet name="SSH_UFA 01_2026" sheetId="109" r:id="rId48"/>
    <sheet name="SSH_ZIA_09.2023" sheetId="48" r:id="rId49"/>
    <sheet name="SSH_SVO 01_2026" sheetId="49" r:id="rId50"/>
    <sheet name="SSH_SVX 01_2026" sheetId="50" r:id="rId51"/>
    <sheet name="SSH_LED 11_2025" sheetId="52" r:id="rId52"/>
    <sheet name="SSH_MRV 01_26" sheetId="101" r:id="rId53"/>
    <sheet name="SSH_OMS 01_26" sheetId="96" r:id="rId54"/>
    <sheet name="SSH_PEE 01_26" sheetId="97" r:id="rId55"/>
    <sheet name="SSH_TJM 01_26" sheetId="98" r:id="rId56"/>
    <sheet name="SUI_CEK 07_26" sheetId="117" r:id="rId57"/>
    <sheet name="SUI_GOJ 07_26" sheetId="94" r:id="rId58"/>
    <sheet name="SUI_LED 07_26" sheetId="118" r:id="rId59"/>
    <sheet name="SUI_SVO 07_26" sheetId="113" r:id="rId60"/>
    <sheet name="SUI_UFA 07_26" sheetId="116" r:id="rId61"/>
    <sheet name="AER_AYT 10_25" sheetId="93" r:id="rId62"/>
    <sheet name="AER_BAX 07_26" sheetId="56" r:id="rId63"/>
    <sheet name="AER_CSY 07_26" sheetId="57" r:id="rId64"/>
    <sheet name="AER_CEK 07_26" sheetId="58" r:id="rId65"/>
    <sheet name="AER_GOJ 07_26" sheetId="59" r:id="rId66"/>
    <sheet name="AER_IWA 07_26" sheetId="60" r:id="rId67"/>
    <sheet name="AER_KVX 07_26" sheetId="61" r:id="rId68"/>
    <sheet name="AER_KZN 07_26" sheetId="62" r:id="rId69"/>
    <sheet name="AER_KUF 07_26" sheetId="106" r:id="rId70"/>
    <sheet name="AER_KJA 07_26" sheetId="64" r:id="rId71"/>
    <sheet name="AER_KRO 07_26" sheetId="65" r:id="rId72"/>
    <sheet name="AER_KEJ 07_26" sheetId="66" r:id="rId73"/>
    <sheet name="AER_LED 07_26" sheetId="67" r:id="rId74"/>
    <sheet name="AER_MQF 07_26" sheetId="85" r:id="rId75"/>
    <sheet name="AER_NJC 07_26" sheetId="68" r:id="rId76"/>
    <sheet name="AER_NBC 07_26" sheetId="83" r:id="rId77"/>
    <sheet name="AER_NOZ 07_26" sheetId="69" r:id="rId78"/>
    <sheet name="AER_OVB 12_25" sheetId="70" r:id="rId79"/>
    <sheet name="AER_OMS 07_26" sheetId="71" r:id="rId80"/>
    <sheet name="AER_OSW 07_26" sheetId="92" r:id="rId81"/>
    <sheet name="AER_PEE 07_26" sheetId="72" r:id="rId82"/>
    <sheet name="AER_REN 07_26" sheetId="82" r:id="rId83"/>
    <sheet name="AER_SVO 06_26" sheetId="73" r:id="rId84"/>
    <sheet name="AER_SVX 07_26" sheetId="74" r:id="rId85"/>
    <sheet name="AER_SGC 06_26" sheetId="75" r:id="rId86"/>
    <sheet name="AER_SKX 09_23" sheetId="76" r:id="rId87"/>
    <sheet name="AER_SCW 07_26" sheetId="77" r:id="rId88"/>
    <sheet name="AER_TOF 07_26" sheetId="78" r:id="rId89"/>
    <sheet name="AER_TJM 07_26" sheetId="79" r:id="rId90"/>
    <sheet name="AER_UFA 07_26" sheetId="80" r:id="rId91"/>
    <sheet name="AER_ULV 07_26" sheetId="81" r:id="rId92"/>
    <sheet name="AER_VOG 10_25" sheetId="91" r:id="rId93"/>
    <sheet name="Лист1" sheetId="115" r:id="rId94"/>
    <sheet name="Лист" sheetId="86" r:id="rId95"/>
  </sheets>
  <definedNames>
    <definedName name="_xlnm._FilterDatabase" localSheetId="0" hidden="1">TABLE!$D$24:$E$119</definedName>
  </definedNames>
  <calcPr calcId="125725"/>
</workbook>
</file>

<file path=xl/calcChain.xml><?xml version="1.0" encoding="utf-8"?>
<calcChain xmlns="http://schemas.openxmlformats.org/spreadsheetml/2006/main">
  <c r="K17" i="46"/>
  <c r="J17"/>
  <c r="I17"/>
  <c r="K11" i="38"/>
  <c r="J11"/>
  <c r="I11"/>
  <c r="N119" i="55"/>
  <c r="L119"/>
  <c r="M119" s="1"/>
  <c r="N95"/>
  <c r="L95"/>
  <c r="J119"/>
  <c r="J95"/>
  <c r="H119"/>
  <c r="H95"/>
  <c r="F119"/>
  <c r="F95"/>
  <c r="M95" s="1"/>
  <c r="E119"/>
  <c r="E95"/>
  <c r="D119"/>
  <c r="D95"/>
  <c r="G4" i="118"/>
  <c r="K4" s="1"/>
  <c r="K7"/>
  <c r="J7"/>
  <c r="E4" s="1"/>
  <c r="I7"/>
  <c r="C4" s="1"/>
  <c r="I4" s="1"/>
  <c r="K27" i="62"/>
  <c r="J27"/>
  <c r="I27"/>
  <c r="K16" i="82"/>
  <c r="J16"/>
  <c r="I16"/>
  <c r="K13" i="56"/>
  <c r="J13"/>
  <c r="I13"/>
  <c r="K16" i="71"/>
  <c r="J16"/>
  <c r="I16"/>
  <c r="K11" i="85"/>
  <c r="J11"/>
  <c r="I11"/>
  <c r="K26" i="62"/>
  <c r="J26"/>
  <c r="I26"/>
  <c r="N118" i="55"/>
  <c r="L118"/>
  <c r="M118" s="1"/>
  <c r="J118"/>
  <c r="H118"/>
  <c r="F118"/>
  <c r="E118"/>
  <c r="D118"/>
  <c r="K7" i="117"/>
  <c r="G4" s="1"/>
  <c r="K4" s="1"/>
  <c r="J7"/>
  <c r="E4" s="1"/>
  <c r="I7"/>
  <c r="C4" s="1"/>
  <c r="I4" s="1"/>
  <c r="K22" i="113"/>
  <c r="J22"/>
  <c r="I22"/>
  <c r="N117" i="55"/>
  <c r="L117"/>
  <c r="M117" s="1"/>
  <c r="J117"/>
  <c r="H117"/>
  <c r="F117"/>
  <c r="E117"/>
  <c r="E115"/>
  <c r="D117"/>
  <c r="D115"/>
  <c r="K7" i="116"/>
  <c r="J7"/>
  <c r="E4" s="1"/>
  <c r="I7"/>
  <c r="C4" s="1"/>
  <c r="I4" s="1"/>
  <c r="K11" i="67"/>
  <c r="J11"/>
  <c r="I11"/>
  <c r="K11" i="83"/>
  <c r="J11"/>
  <c r="I11"/>
  <c r="K9" i="114"/>
  <c r="J9"/>
  <c r="I9"/>
  <c r="K11" i="35"/>
  <c r="J11"/>
  <c r="I11"/>
  <c r="K11" i="68"/>
  <c r="J11"/>
  <c r="I11"/>
  <c r="K10" i="61"/>
  <c r="J10"/>
  <c r="I10"/>
  <c r="K21" i="113"/>
  <c r="J21"/>
  <c r="I21"/>
  <c r="K14" i="77"/>
  <c r="J14"/>
  <c r="I14"/>
  <c r="K13" i="74"/>
  <c r="J13"/>
  <c r="I13"/>
  <c r="K11" i="66"/>
  <c r="J11"/>
  <c r="I11"/>
  <c r="K13" i="26"/>
  <c r="J13"/>
  <c r="I13"/>
  <c r="K13" i="59"/>
  <c r="J13"/>
  <c r="I13"/>
  <c r="K13" i="60"/>
  <c r="J13"/>
  <c r="I13"/>
  <c r="K11" i="89"/>
  <c r="J11"/>
  <c r="I11"/>
  <c r="K12" i="69"/>
  <c r="J12"/>
  <c r="I12"/>
  <c r="K10" i="92"/>
  <c r="J10"/>
  <c r="I10"/>
  <c r="K12" i="56"/>
  <c r="J12"/>
  <c r="I12"/>
  <c r="K10" i="65"/>
  <c r="J10"/>
  <c r="I10"/>
  <c r="K10" i="83"/>
  <c r="J10"/>
  <c r="I10"/>
  <c r="K10" i="68"/>
  <c r="J10"/>
  <c r="I10"/>
  <c r="K15" i="71"/>
  <c r="J15"/>
  <c r="I15"/>
  <c r="K14"/>
  <c r="J14"/>
  <c r="I14"/>
  <c r="K25" i="62"/>
  <c r="J25"/>
  <c r="I25"/>
  <c r="K24"/>
  <c r="J24"/>
  <c r="I24"/>
  <c r="K23"/>
  <c r="J23"/>
  <c r="I23"/>
  <c r="K10" i="80"/>
  <c r="J10"/>
  <c r="I10"/>
  <c r="K12" i="74"/>
  <c r="J12"/>
  <c r="I12"/>
  <c r="K9" i="72"/>
  <c r="J9"/>
  <c r="I9"/>
  <c r="K15" i="82"/>
  <c r="J15"/>
  <c r="I15"/>
  <c r="K14"/>
  <c r="J14"/>
  <c r="I14"/>
  <c r="K13" i="77"/>
  <c r="J13"/>
  <c r="I13"/>
  <c r="K10" i="78"/>
  <c r="J10"/>
  <c r="I10"/>
  <c r="K20" i="113"/>
  <c r="J20"/>
  <c r="I20"/>
  <c r="K19"/>
  <c r="J19"/>
  <c r="I19"/>
  <c r="K8" i="30"/>
  <c r="J8"/>
  <c r="I8"/>
  <c r="K10" i="38"/>
  <c r="J10"/>
  <c r="I10"/>
  <c r="K8" i="37"/>
  <c r="J8"/>
  <c r="I8"/>
  <c r="K8" i="31"/>
  <c r="J8"/>
  <c r="I8"/>
  <c r="K16" i="46"/>
  <c r="J16"/>
  <c r="I16"/>
  <c r="K15"/>
  <c r="J15"/>
  <c r="I15"/>
  <c r="K10" i="85"/>
  <c r="J10"/>
  <c r="I10"/>
  <c r="K11" i="69"/>
  <c r="J11"/>
  <c r="I11"/>
  <c r="K10" i="35"/>
  <c r="J10"/>
  <c r="I10"/>
  <c r="K22" i="62"/>
  <c r="J22"/>
  <c r="I22"/>
  <c r="K10" i="64"/>
  <c r="J10"/>
  <c r="I10"/>
  <c r="K21" i="62"/>
  <c r="J21"/>
  <c r="I21"/>
  <c r="K12" i="26"/>
  <c r="J12"/>
  <c r="I12"/>
  <c r="K12" i="77"/>
  <c r="J12"/>
  <c r="I12"/>
  <c r="K14" i="46"/>
  <c r="J14"/>
  <c r="I14"/>
  <c r="K18" i="113"/>
  <c r="J18"/>
  <c r="I18"/>
  <c r="K12" i="59"/>
  <c r="J12"/>
  <c r="I12"/>
  <c r="K10" i="89"/>
  <c r="J10"/>
  <c r="I10"/>
  <c r="K13" i="82"/>
  <c r="J13"/>
  <c r="I13"/>
  <c r="K11" i="56"/>
  <c r="J11"/>
  <c r="I11"/>
  <c r="K13" i="71"/>
  <c r="J13"/>
  <c r="I13"/>
  <c r="K17" i="113"/>
  <c r="J17"/>
  <c r="I17"/>
  <c r="K12" i="60"/>
  <c r="J12"/>
  <c r="I12"/>
  <c r="K9" i="61"/>
  <c r="J9"/>
  <c r="I9"/>
  <c r="K8" i="94"/>
  <c r="J8"/>
  <c r="I8"/>
  <c r="K9" i="80"/>
  <c r="J9"/>
  <c r="I9"/>
  <c r="K10" i="66"/>
  <c r="J10"/>
  <c r="I10"/>
  <c r="K8" i="103"/>
  <c r="J8"/>
  <c r="I8"/>
  <c r="K10" i="67"/>
  <c r="J10"/>
  <c r="I10"/>
  <c r="K11" i="59"/>
  <c r="J11"/>
  <c r="I11"/>
  <c r="K20" i="62"/>
  <c r="J20"/>
  <c r="I20"/>
  <c r="K10" i="69"/>
  <c r="J10"/>
  <c r="I10"/>
  <c r="K9" i="65"/>
  <c r="J9"/>
  <c r="I9"/>
  <c r="K9" i="92"/>
  <c r="J9"/>
  <c r="I9"/>
  <c r="K12" i="71"/>
  <c r="J12"/>
  <c r="I12"/>
  <c r="K10" i="56"/>
  <c r="J10"/>
  <c r="I10"/>
  <c r="K9" i="83"/>
  <c r="J9"/>
  <c r="I9"/>
  <c r="K11" i="60"/>
  <c r="J11"/>
  <c r="I11"/>
  <c r="K9" i="85"/>
  <c r="J9"/>
  <c r="I9"/>
  <c r="K9" i="64"/>
  <c r="J9"/>
  <c r="I9"/>
  <c r="K19" i="62"/>
  <c r="J19"/>
  <c r="I19"/>
  <c r="K18"/>
  <c r="J18"/>
  <c r="I18"/>
  <c r="K17"/>
  <c r="J17"/>
  <c r="I17"/>
  <c r="K9" i="67"/>
  <c r="J9"/>
  <c r="I9"/>
  <c r="K8" i="34"/>
  <c r="J8"/>
  <c r="I8"/>
  <c r="K9" i="78"/>
  <c r="J9"/>
  <c r="I9"/>
  <c r="K8" i="72"/>
  <c r="J8"/>
  <c r="I8"/>
  <c r="K11" i="77"/>
  <c r="J11"/>
  <c r="I11"/>
  <c r="K12" i="82"/>
  <c r="J12"/>
  <c r="I12"/>
  <c r="K11"/>
  <c r="J11"/>
  <c r="I11"/>
  <c r="K10" i="74"/>
  <c r="K11"/>
  <c r="J10"/>
  <c r="J11"/>
  <c r="I10"/>
  <c r="I11"/>
  <c r="K9" i="38"/>
  <c r="J9"/>
  <c r="I9"/>
  <c r="K16" i="113"/>
  <c r="J16"/>
  <c r="I16"/>
  <c r="K15"/>
  <c r="J15"/>
  <c r="I15"/>
  <c r="K8" i="114"/>
  <c r="J8"/>
  <c r="I8"/>
  <c r="K9" i="35"/>
  <c r="J9"/>
  <c r="I9"/>
  <c r="K13" i="46"/>
  <c r="J13"/>
  <c r="I13"/>
  <c r="K12"/>
  <c r="J12"/>
  <c r="I12"/>
  <c r="K11" i="26"/>
  <c r="J11"/>
  <c r="I11"/>
  <c r="K10" i="59"/>
  <c r="J10"/>
  <c r="I10"/>
  <c r="K16" i="62"/>
  <c r="J16"/>
  <c r="I16"/>
  <c r="K10" i="60"/>
  <c r="J10"/>
  <c r="I10"/>
  <c r="K11" i="71"/>
  <c r="J11"/>
  <c r="I11"/>
  <c r="K10" i="77"/>
  <c r="J10"/>
  <c r="I10"/>
  <c r="K8" i="92"/>
  <c r="J8"/>
  <c r="I8"/>
  <c r="K9" i="68"/>
  <c r="J9"/>
  <c r="I9"/>
  <c r="K9" i="66"/>
  <c r="J9"/>
  <c r="I9"/>
  <c r="K15" i="62"/>
  <c r="J15"/>
  <c r="I15"/>
  <c r="K8" i="80"/>
  <c r="J8"/>
  <c r="I8"/>
  <c r="K10" i="26"/>
  <c r="J10"/>
  <c r="I10"/>
  <c r="K14" i="113"/>
  <c r="J14"/>
  <c r="I14"/>
  <c r="K9" i="89"/>
  <c r="J9"/>
  <c r="I9"/>
  <c r="K11" i="46"/>
  <c r="J11"/>
  <c r="I11"/>
  <c r="K13" i="113"/>
  <c r="J13"/>
  <c r="I13"/>
  <c r="K10" i="71"/>
  <c r="J10"/>
  <c r="I10"/>
  <c r="K8" i="68"/>
  <c r="J8"/>
  <c r="I8"/>
  <c r="K9" i="71"/>
  <c r="J9"/>
  <c r="I9"/>
  <c r="J4" i="118" l="1"/>
  <c r="J4" i="117"/>
  <c r="G4" i="116"/>
  <c r="K4" s="1"/>
  <c r="J4"/>
  <c r="K8" i="57"/>
  <c r="J8"/>
  <c r="I8"/>
  <c r="K8" i="65"/>
  <c r="J8"/>
  <c r="I8"/>
  <c r="K9" i="56"/>
  <c r="J9"/>
  <c r="I9"/>
  <c r="K8" i="83"/>
  <c r="J8"/>
  <c r="I8"/>
  <c r="K8" i="85"/>
  <c r="J8"/>
  <c r="I8"/>
  <c r="K9" i="69"/>
  <c r="J9"/>
  <c r="I9"/>
  <c r="K8" i="64"/>
  <c r="J8"/>
  <c r="I8"/>
  <c r="K14" i="62"/>
  <c r="J14"/>
  <c r="I14"/>
  <c r="K13"/>
  <c r="J13"/>
  <c r="I13"/>
  <c r="K12"/>
  <c r="J12"/>
  <c r="I12"/>
  <c r="K9" i="59"/>
  <c r="J9"/>
  <c r="I9"/>
  <c r="K10" i="82"/>
  <c r="J10"/>
  <c r="I10"/>
  <c r="K9" i="74"/>
  <c r="J9"/>
  <c r="I9"/>
  <c r="K8" i="78"/>
  <c r="J8"/>
  <c r="I8"/>
  <c r="K9" i="77"/>
  <c r="J9"/>
  <c r="I9"/>
  <c r="K8" i="38"/>
  <c r="J8"/>
  <c r="I8"/>
  <c r="K8" i="35"/>
  <c r="J8"/>
  <c r="I8"/>
  <c r="K11" i="113"/>
  <c r="K12"/>
  <c r="J11"/>
  <c r="J12"/>
  <c r="I11"/>
  <c r="I12"/>
  <c r="K10" i="46"/>
  <c r="J10"/>
  <c r="I10"/>
  <c r="K9" i="26"/>
  <c r="J9"/>
  <c r="I9"/>
  <c r="K9" i="82"/>
  <c r="J9"/>
  <c r="I9"/>
  <c r="K8" i="89"/>
  <c r="J8"/>
  <c r="I8"/>
  <c r="K9" i="60"/>
  <c r="J9"/>
  <c r="I9"/>
  <c r="K8" i="56"/>
  <c r="J8"/>
  <c r="I8"/>
  <c r="K8" i="71"/>
  <c r="J8"/>
  <c r="I8"/>
  <c r="K10" i="113"/>
  <c r="J10"/>
  <c r="I10"/>
  <c r="K8" i="66"/>
  <c r="J8"/>
  <c r="I8"/>
  <c r="K8" i="67"/>
  <c r="J8"/>
  <c r="I8"/>
  <c r="K11" i="62"/>
  <c r="J11"/>
  <c r="I11"/>
  <c r="K8" i="59"/>
  <c r="J8"/>
  <c r="I8"/>
  <c r="K8" i="61"/>
  <c r="J8"/>
  <c r="I8"/>
  <c r="K8" i="74"/>
  <c r="J8"/>
  <c r="I8"/>
  <c r="K9" i="46"/>
  <c r="J9"/>
  <c r="I9"/>
  <c r="K8" i="77"/>
  <c r="J8"/>
  <c r="I8"/>
  <c r="K8" i="69"/>
  <c r="J8"/>
  <c r="I8"/>
  <c r="K10" i="62"/>
  <c r="J10"/>
  <c r="I10"/>
  <c r="K8" i="26"/>
  <c r="J8"/>
  <c r="I8"/>
  <c r="K9" i="113"/>
  <c r="J9"/>
  <c r="I9"/>
  <c r="K8" i="60"/>
  <c r="J8"/>
  <c r="I8"/>
  <c r="K8" i="62"/>
  <c r="K9"/>
  <c r="J8"/>
  <c r="J9"/>
  <c r="I8"/>
  <c r="I9"/>
  <c r="K8" i="82"/>
  <c r="J8"/>
  <c r="I8"/>
  <c r="K8" i="113"/>
  <c r="J8"/>
  <c r="I8"/>
  <c r="K8" i="46"/>
  <c r="J8"/>
  <c r="I8"/>
  <c r="K11" i="75" l="1"/>
  <c r="J11"/>
  <c r="I11"/>
  <c r="K10" l="1"/>
  <c r="J10"/>
  <c r="I10"/>
  <c r="K9" l="1"/>
  <c r="J9"/>
  <c r="I9"/>
  <c r="K8" i="73"/>
  <c r="J8"/>
  <c r="I8"/>
  <c r="K8" i="75"/>
  <c r="J8"/>
  <c r="I8"/>
  <c r="K7" i="77"/>
  <c r="E116" i="55"/>
  <c r="E96"/>
  <c r="D116"/>
  <c r="D96"/>
  <c r="R23" i="114"/>
  <c r="O23"/>
  <c r="O7"/>
  <c r="O8" s="1"/>
  <c r="K7"/>
  <c r="J7"/>
  <c r="I7"/>
  <c r="K8" i="102"/>
  <c r="J8"/>
  <c r="I8"/>
  <c r="K24" i="53"/>
  <c r="J24"/>
  <c r="I24"/>
  <c r="K14" i="25"/>
  <c r="J14"/>
  <c r="I14"/>
  <c r="K23" i="53"/>
  <c r="J23"/>
  <c r="I23"/>
  <c r="K13" i="25"/>
  <c r="J13"/>
  <c r="I13"/>
  <c r="K22" i="53"/>
  <c r="J22"/>
  <c r="I22"/>
  <c r="K21"/>
  <c r="J21"/>
  <c r="I21"/>
  <c r="K20"/>
  <c r="J20"/>
  <c r="I20"/>
  <c r="K19"/>
  <c r="J19"/>
  <c r="I19"/>
  <c r="K18"/>
  <c r="J18"/>
  <c r="I18"/>
  <c r="K12" i="25"/>
  <c r="J12"/>
  <c r="I12"/>
  <c r="K11"/>
  <c r="J11"/>
  <c r="I11"/>
  <c r="K17" i="53"/>
  <c r="J17"/>
  <c r="I17"/>
  <c r="K16"/>
  <c r="J16"/>
  <c r="I16"/>
  <c r="K8" i="108"/>
  <c r="J8"/>
  <c r="I8"/>
  <c r="K15" i="53"/>
  <c r="J15"/>
  <c r="I15"/>
  <c r="K14"/>
  <c r="J14"/>
  <c r="I14"/>
  <c r="K10" i="25"/>
  <c r="J10"/>
  <c r="I10"/>
  <c r="K13" i="53"/>
  <c r="J13"/>
  <c r="I13"/>
  <c r="K9" i="25"/>
  <c r="J9"/>
  <c r="I9"/>
  <c r="K12" i="53"/>
  <c r="J12"/>
  <c r="I12"/>
  <c r="K11"/>
  <c r="J11"/>
  <c r="I11"/>
  <c r="K10"/>
  <c r="J10"/>
  <c r="I10"/>
  <c r="K9"/>
  <c r="J9"/>
  <c r="I9"/>
  <c r="K8" i="25"/>
  <c r="J8"/>
  <c r="I8"/>
  <c r="K8" i="53"/>
  <c r="J8"/>
  <c r="I8"/>
  <c r="K7" i="113"/>
  <c r="J7"/>
  <c r="I7"/>
  <c r="K8" i="111"/>
  <c r="J8"/>
  <c r="I8"/>
  <c r="K8" i="104"/>
  <c r="J8"/>
  <c r="I8"/>
  <c r="K8" i="41"/>
  <c r="J8"/>
  <c r="I8"/>
  <c r="J11" i="42"/>
  <c r="I11"/>
  <c r="J10"/>
  <c r="I10"/>
  <c r="J9"/>
  <c r="I9"/>
  <c r="J8"/>
  <c r="I8"/>
  <c r="K8" i="101"/>
  <c r="J8"/>
  <c r="I8"/>
  <c r="K14" i="50"/>
  <c r="J14"/>
  <c r="I14"/>
  <c r="K8" i="109"/>
  <c r="J8"/>
  <c r="I8"/>
  <c r="K8" i="110"/>
  <c r="J8"/>
  <c r="I8"/>
  <c r="K13" i="50"/>
  <c r="J13"/>
  <c r="I13"/>
  <c r="K8" i="97"/>
  <c r="J8"/>
  <c r="I8"/>
  <c r="K8" i="98"/>
  <c r="J8"/>
  <c r="I8"/>
  <c r="K12" i="50"/>
  <c r="J12"/>
  <c r="I12"/>
  <c r="K11"/>
  <c r="J11"/>
  <c r="I11"/>
  <c r="K8" i="47"/>
  <c r="J8"/>
  <c r="I8"/>
  <c r="K9" i="49"/>
  <c r="J9"/>
  <c r="I9"/>
  <c r="K8" i="96"/>
  <c r="J8"/>
  <c r="I8"/>
  <c r="K10" i="50"/>
  <c r="J10"/>
  <c r="I10"/>
  <c r="E114" i="55"/>
  <c r="D114"/>
  <c r="E113"/>
  <c r="D113"/>
  <c r="D112"/>
  <c r="K7" i="112"/>
  <c r="J7"/>
  <c r="I7"/>
  <c r="K7" i="111"/>
  <c r="J7"/>
  <c r="I7"/>
  <c r="C4" s="1"/>
  <c r="I4" s="1"/>
  <c r="E112" i="55"/>
  <c r="E109"/>
  <c r="D109"/>
  <c r="R23" i="110"/>
  <c r="O23"/>
  <c r="O7"/>
  <c r="O8" s="1"/>
  <c r="K7"/>
  <c r="J7"/>
  <c r="I7"/>
  <c r="K8" i="49"/>
  <c r="J8"/>
  <c r="I8"/>
  <c r="K9" i="50"/>
  <c r="J9"/>
  <c r="I9"/>
  <c r="K8"/>
  <c r="J8"/>
  <c r="I8"/>
  <c r="E111" i="55"/>
  <c r="E54"/>
  <c r="D111"/>
  <c r="D54"/>
  <c r="R23" i="109"/>
  <c r="O23"/>
  <c r="O7"/>
  <c r="O8" s="1"/>
  <c r="K7"/>
  <c r="G4" s="1"/>
  <c r="K4" s="1"/>
  <c r="J7"/>
  <c r="I7"/>
  <c r="E110" i="55"/>
  <c r="E107"/>
  <c r="D110"/>
  <c r="D107"/>
  <c r="R23" i="108"/>
  <c r="O23"/>
  <c r="O7"/>
  <c r="O8" s="1"/>
  <c r="K7"/>
  <c r="J7"/>
  <c r="I7"/>
  <c r="D84" i="55"/>
  <c r="K7" i="107"/>
  <c r="J7"/>
  <c r="I7"/>
  <c r="E108" i="55"/>
  <c r="E66"/>
  <c r="D108"/>
  <c r="D66"/>
  <c r="R23" i="106"/>
  <c r="O23"/>
  <c r="O7"/>
  <c r="O8" s="1"/>
  <c r="K7"/>
  <c r="J7"/>
  <c r="I7"/>
  <c r="E57" i="55"/>
  <c r="D57"/>
  <c r="R23" i="105"/>
  <c r="O23"/>
  <c r="O7"/>
  <c r="O8" s="1"/>
  <c r="K7"/>
  <c r="J7"/>
  <c r="I7"/>
  <c r="E106" i="55"/>
  <c r="D106"/>
  <c r="D98"/>
  <c r="K7" i="104"/>
  <c r="J7"/>
  <c r="I7"/>
  <c r="K8" i="52"/>
  <c r="J8"/>
  <c r="I8"/>
  <c r="E105" i="55"/>
  <c r="E48"/>
  <c r="D105"/>
  <c r="D48"/>
  <c r="R23" i="103"/>
  <c r="O23"/>
  <c r="O7"/>
  <c r="O8" s="1"/>
  <c r="K7"/>
  <c r="J7"/>
  <c r="I7"/>
  <c r="E104" i="55"/>
  <c r="D104"/>
  <c r="D103"/>
  <c r="K7" i="102"/>
  <c r="J7"/>
  <c r="I7"/>
  <c r="E103" i="55"/>
  <c r="D101"/>
  <c r="K7" i="101"/>
  <c r="J7"/>
  <c r="I7"/>
  <c r="E102" i="55"/>
  <c r="D102"/>
  <c r="K7" i="100"/>
  <c r="G4" s="1"/>
  <c r="K4" s="1"/>
  <c r="J7"/>
  <c r="E4" s="1"/>
  <c r="H102" i="55" s="1"/>
  <c r="I7" i="100"/>
  <c r="C4" s="1"/>
  <c r="I4" s="1"/>
  <c r="E101" i="55"/>
  <c r="K7" i="99"/>
  <c r="J7"/>
  <c r="E4" s="1"/>
  <c r="H101" i="55" s="1"/>
  <c r="I7" i="99"/>
  <c r="C4" s="1"/>
  <c r="I4" s="1"/>
  <c r="K14" i="91"/>
  <c r="J14"/>
  <c r="I14"/>
  <c r="K13"/>
  <c r="J13"/>
  <c r="I13"/>
  <c r="K13" i="5"/>
  <c r="J13"/>
  <c r="I13"/>
  <c r="K12" i="91"/>
  <c r="J12"/>
  <c r="I12"/>
  <c r="K12" i="5"/>
  <c r="J12"/>
  <c r="I12"/>
  <c r="K11" i="91"/>
  <c r="J11"/>
  <c r="I11"/>
  <c r="E100" i="55"/>
  <c r="D100"/>
  <c r="D92"/>
  <c r="K11" i="5"/>
  <c r="J11"/>
  <c r="I11"/>
  <c r="K10"/>
  <c r="J10"/>
  <c r="I10"/>
  <c r="K10" i="91"/>
  <c r="J10"/>
  <c r="I10"/>
  <c r="E99" i="55"/>
  <c r="D99"/>
  <c r="D97"/>
  <c r="K7" i="98"/>
  <c r="J7"/>
  <c r="I7"/>
  <c r="K9" i="91"/>
  <c r="J9"/>
  <c r="I9"/>
  <c r="K9" i="5"/>
  <c r="J9"/>
  <c r="I9"/>
  <c r="E98" i="55"/>
  <c r="K7" i="97"/>
  <c r="J7"/>
  <c r="I7"/>
  <c r="K8" i="5"/>
  <c r="J8"/>
  <c r="I8"/>
  <c r="E97" i="55"/>
  <c r="R23" i="96"/>
  <c r="O23"/>
  <c r="O7"/>
  <c r="O8" s="1"/>
  <c r="K7"/>
  <c r="J7"/>
  <c r="I7"/>
  <c r="K7" i="50"/>
  <c r="K8" i="91"/>
  <c r="J8"/>
  <c r="I8"/>
  <c r="K7" i="31"/>
  <c r="C4" i="113" l="1"/>
  <c r="C4" i="109"/>
  <c r="I4" s="1"/>
  <c r="E4" i="113"/>
  <c r="H115" i="55" s="1"/>
  <c r="E4" i="109"/>
  <c r="G4" i="113"/>
  <c r="G4" i="110"/>
  <c r="K4" s="1"/>
  <c r="J102" i="55"/>
  <c r="N102" s="1"/>
  <c r="F102"/>
  <c r="L102" s="1"/>
  <c r="M102" s="1"/>
  <c r="G4" i="114"/>
  <c r="K4" s="1"/>
  <c r="C4"/>
  <c r="I4" s="1"/>
  <c r="P7" s="1"/>
  <c r="S7" s="1"/>
  <c r="P8" s="1"/>
  <c r="E4"/>
  <c r="E4" i="111"/>
  <c r="H114" i="55" s="1"/>
  <c r="G4" i="107"/>
  <c r="K4" s="1"/>
  <c r="C4"/>
  <c r="I4" s="1"/>
  <c r="G4" i="111"/>
  <c r="K4" s="1"/>
  <c r="G4" i="104"/>
  <c r="K4" s="1"/>
  <c r="C4"/>
  <c r="I4" s="1"/>
  <c r="E4" i="105"/>
  <c r="H107" i="55" s="1"/>
  <c r="C4" i="105"/>
  <c r="I4" s="1"/>
  <c r="P7" s="1"/>
  <c r="S7" s="1"/>
  <c r="P8" s="1"/>
  <c r="E4" i="101"/>
  <c r="H103" i="55" s="1"/>
  <c r="G4" i="112"/>
  <c r="E4"/>
  <c r="H113" i="55" s="1"/>
  <c r="C4" i="112"/>
  <c r="F114" i="55"/>
  <c r="L114" s="1"/>
  <c r="E4" i="110"/>
  <c r="H112" i="55" s="1"/>
  <c r="C4" i="110"/>
  <c r="G4" i="103"/>
  <c r="K4" s="1"/>
  <c r="I4" i="110"/>
  <c r="F112" i="55"/>
  <c r="L112" s="1"/>
  <c r="C4" i="103"/>
  <c r="I4" s="1"/>
  <c r="P7" s="1"/>
  <c r="S7" s="1"/>
  <c r="P8" s="1"/>
  <c r="E4" i="107"/>
  <c r="H109" i="55" s="1"/>
  <c r="G4" i="108"/>
  <c r="K4" s="1"/>
  <c r="E4"/>
  <c r="H110" i="55" s="1"/>
  <c r="C4" i="108"/>
  <c r="I4" s="1"/>
  <c r="P7" s="1"/>
  <c r="S7" s="1"/>
  <c r="P8" s="1"/>
  <c r="C4" i="102"/>
  <c r="I4" s="1"/>
  <c r="J111" i="55"/>
  <c r="N111" s="1"/>
  <c r="P7" i="109"/>
  <c r="S7" s="1"/>
  <c r="P8" s="1"/>
  <c r="J4"/>
  <c r="Q7" s="1"/>
  <c r="E4" i="98"/>
  <c r="H99" i="55" s="1"/>
  <c r="G4" i="106"/>
  <c r="E4"/>
  <c r="H108" i="55" s="1"/>
  <c r="C4" i="106"/>
  <c r="G4" i="105"/>
  <c r="E4" i="104"/>
  <c r="H106" i="55" s="1"/>
  <c r="G4" i="99"/>
  <c r="E4" i="103"/>
  <c r="H105" i="55" s="1"/>
  <c r="G4" i="102"/>
  <c r="K4" s="1"/>
  <c r="E4"/>
  <c r="H104" i="55" s="1"/>
  <c r="E4" i="96"/>
  <c r="H97" i="55" s="1"/>
  <c r="F101"/>
  <c r="L101" s="1"/>
  <c r="M101" s="1"/>
  <c r="C4" i="101"/>
  <c r="G4"/>
  <c r="C4" i="97"/>
  <c r="F98" i="55" s="1"/>
  <c r="L98" s="1"/>
  <c r="G4" i="98"/>
  <c r="K4" s="1"/>
  <c r="C4"/>
  <c r="I4" s="1"/>
  <c r="J4" i="100"/>
  <c r="J4" i="99"/>
  <c r="G4" i="96"/>
  <c r="C4"/>
  <c r="G4" i="97"/>
  <c r="E4"/>
  <c r="H98" i="55" s="1"/>
  <c r="D93"/>
  <c r="K7" i="94"/>
  <c r="G4" s="1"/>
  <c r="J7"/>
  <c r="E4" s="1"/>
  <c r="I7"/>
  <c r="E94" i="55"/>
  <c r="D94"/>
  <c r="E93"/>
  <c r="D89"/>
  <c r="K7" i="93"/>
  <c r="G4" s="1"/>
  <c r="J7"/>
  <c r="E4" s="1"/>
  <c r="H100" i="55" s="1"/>
  <c r="I7" i="93"/>
  <c r="K7" i="91"/>
  <c r="J7"/>
  <c r="I7"/>
  <c r="R23" i="92"/>
  <c r="O23"/>
  <c r="O7"/>
  <c r="O8" s="1"/>
  <c r="K7"/>
  <c r="J7"/>
  <c r="I7"/>
  <c r="K9" i="45"/>
  <c r="J9"/>
  <c r="I9"/>
  <c r="K9" i="90"/>
  <c r="J9"/>
  <c r="I9"/>
  <c r="K8" i="45"/>
  <c r="J8"/>
  <c r="I8"/>
  <c r="K8" i="90"/>
  <c r="J8"/>
  <c r="I8"/>
  <c r="E92" i="55"/>
  <c r="K7" i="90"/>
  <c r="J7"/>
  <c r="I7"/>
  <c r="K4" i="113" l="1"/>
  <c r="J115" i="55"/>
  <c r="N115" s="1"/>
  <c r="I4" i="113"/>
  <c r="J4" s="1"/>
  <c r="F115" i="55"/>
  <c r="L115" s="1"/>
  <c r="M115" s="1"/>
  <c r="F111"/>
  <c r="L111" s="1"/>
  <c r="J112"/>
  <c r="N112" s="1"/>
  <c r="J116"/>
  <c r="N116" s="1"/>
  <c r="F107"/>
  <c r="L107" s="1"/>
  <c r="M107" s="1"/>
  <c r="F116"/>
  <c r="L116" s="1"/>
  <c r="E4" i="90"/>
  <c r="H92" i="55" s="1"/>
  <c r="C4" i="90"/>
  <c r="I4" s="1"/>
  <c r="K4" i="93"/>
  <c r="J100" i="55"/>
  <c r="N100" s="1"/>
  <c r="K4" i="94"/>
  <c r="J4" i="114"/>
  <c r="Q7" s="1"/>
  <c r="R7" s="1"/>
  <c r="Q8" s="1"/>
  <c r="H116" i="55"/>
  <c r="O22" i="114"/>
  <c r="R22"/>
  <c r="M114" i="55"/>
  <c r="J109"/>
  <c r="N109" s="1"/>
  <c r="J4" i="111"/>
  <c r="F109" i="55"/>
  <c r="L109" s="1"/>
  <c r="M109" s="1"/>
  <c r="J114"/>
  <c r="N114" s="1"/>
  <c r="J106"/>
  <c r="N106" s="1"/>
  <c r="J4" i="105"/>
  <c r="Q7" s="1"/>
  <c r="R7" s="1"/>
  <c r="P16" s="1"/>
  <c r="F106" i="55"/>
  <c r="L106" s="1"/>
  <c r="M106" s="1"/>
  <c r="J105"/>
  <c r="N105" s="1"/>
  <c r="I4" i="101"/>
  <c r="J4" s="1"/>
  <c r="F103" i="55"/>
  <c r="L103" s="1"/>
  <c r="M103" s="1"/>
  <c r="K4" i="101"/>
  <c r="J103" i="55"/>
  <c r="N103" s="1"/>
  <c r="K4" i="112"/>
  <c r="J113" i="55"/>
  <c r="N113" s="1"/>
  <c r="I4" i="112"/>
  <c r="J4" s="1"/>
  <c r="F113" i="55"/>
  <c r="L113" s="1"/>
  <c r="M113" s="1"/>
  <c r="M112"/>
  <c r="P7" i="110"/>
  <c r="S7" s="1"/>
  <c r="P8" s="1"/>
  <c r="J4"/>
  <c r="Q7" s="1"/>
  <c r="R22" i="108"/>
  <c r="O22"/>
  <c r="F110" i="55"/>
  <c r="L110" s="1"/>
  <c r="M110" s="1"/>
  <c r="J110"/>
  <c r="F105"/>
  <c r="L105" s="1"/>
  <c r="M105" s="1"/>
  <c r="J4" i="107"/>
  <c r="J4" i="108"/>
  <c r="Q7" s="1"/>
  <c r="R7" s="1"/>
  <c r="P16" s="1"/>
  <c r="J4" i="104"/>
  <c r="F104" i="55"/>
  <c r="L104" s="1"/>
  <c r="M104" s="1"/>
  <c r="K4" i="105"/>
  <c r="J107" i="55"/>
  <c r="N107" s="1"/>
  <c r="O22" i="109"/>
  <c r="R22"/>
  <c r="R7"/>
  <c r="Q8" s="1"/>
  <c r="J4" i="98"/>
  <c r="J99" i="55"/>
  <c r="N99" s="1"/>
  <c r="J4" i="102"/>
  <c r="K4" i="106"/>
  <c r="J108" i="55"/>
  <c r="N108" s="1"/>
  <c r="I4" i="106"/>
  <c r="F108" i="55"/>
  <c r="L108" s="1"/>
  <c r="M108" s="1"/>
  <c r="O22" i="105"/>
  <c r="R22"/>
  <c r="K4" i="99"/>
  <c r="J101" i="55"/>
  <c r="N101" s="1"/>
  <c r="J4" i="103"/>
  <c r="Q7" s="1"/>
  <c r="R7" s="1"/>
  <c r="J104" i="55"/>
  <c r="N104" s="1"/>
  <c r="R22" i="103"/>
  <c r="O22"/>
  <c r="I4" i="97"/>
  <c r="J4" s="1"/>
  <c r="F99" i="55"/>
  <c r="L99" s="1"/>
  <c r="M99" s="1"/>
  <c r="M98"/>
  <c r="K4" i="96"/>
  <c r="J97" i="55"/>
  <c r="N97" s="1"/>
  <c r="I4" i="96"/>
  <c r="F97" i="55"/>
  <c r="L97" s="1"/>
  <c r="M97" s="1"/>
  <c r="K4" i="97"/>
  <c r="J98" i="55"/>
  <c r="N98" s="1"/>
  <c r="C4" i="94"/>
  <c r="G4" i="92"/>
  <c r="K4" s="1"/>
  <c r="C4"/>
  <c r="I4" s="1"/>
  <c r="P7" s="1"/>
  <c r="S7" s="1"/>
  <c r="P8" s="1"/>
  <c r="E4" i="91"/>
  <c r="H93" i="55" s="1"/>
  <c r="C4" i="91"/>
  <c r="F93" i="55" s="1"/>
  <c r="L93" s="1"/>
  <c r="G4" i="91"/>
  <c r="E4" i="92"/>
  <c r="H94" i="55" s="1"/>
  <c r="C4" i="93"/>
  <c r="G4" i="90"/>
  <c r="F92" i="55"/>
  <c r="L92" s="1"/>
  <c r="K7" i="30"/>
  <c r="K14" i="4"/>
  <c r="J14"/>
  <c r="I14"/>
  <c r="K13"/>
  <c r="J13"/>
  <c r="I13"/>
  <c r="K12" i="88"/>
  <c r="J12"/>
  <c r="I12"/>
  <c r="K12" i="4"/>
  <c r="J12"/>
  <c r="I12"/>
  <c r="K11"/>
  <c r="J11"/>
  <c r="I11"/>
  <c r="K11" i="88"/>
  <c r="J11"/>
  <c r="I11"/>
  <c r="K10"/>
  <c r="J10"/>
  <c r="I10"/>
  <c r="K10" i="4"/>
  <c r="J10"/>
  <c r="I10"/>
  <c r="K9" i="88"/>
  <c r="J9"/>
  <c r="I9"/>
  <c r="K9" i="4"/>
  <c r="J9"/>
  <c r="I9"/>
  <c r="K8" i="88"/>
  <c r="J8"/>
  <c r="I8"/>
  <c r="K8" i="4"/>
  <c r="J8"/>
  <c r="I8"/>
  <c r="R23" i="89"/>
  <c r="O23"/>
  <c r="O7"/>
  <c r="O8" s="1"/>
  <c r="K7"/>
  <c r="G4" s="1"/>
  <c r="J96" i="55" s="1"/>
  <c r="N96" s="1"/>
  <c r="J7" i="89"/>
  <c r="I7"/>
  <c r="M116" i="55" l="1"/>
  <c r="J4" i="90"/>
  <c r="I4" i="93"/>
  <c r="J4" s="1"/>
  <c r="F100" i="55"/>
  <c r="L100" s="1"/>
  <c r="M100" s="1"/>
  <c r="I4" i="94"/>
  <c r="J4" s="1"/>
  <c r="S12" i="114"/>
  <c r="P18"/>
  <c r="S17"/>
  <c r="P17"/>
  <c r="P12"/>
  <c r="P15"/>
  <c r="S20"/>
  <c r="S19"/>
  <c r="S14"/>
  <c r="P20"/>
  <c r="S15"/>
  <c r="P13"/>
  <c r="P21"/>
  <c r="S18"/>
  <c r="P16"/>
  <c r="S13"/>
  <c r="S21"/>
  <c r="P19"/>
  <c r="S16"/>
  <c r="P14"/>
  <c r="P14" i="108"/>
  <c r="R22" i="110"/>
  <c r="O22"/>
  <c r="R7"/>
  <c r="S13" i="108"/>
  <c r="P19"/>
  <c r="S16"/>
  <c r="S21"/>
  <c r="S19"/>
  <c r="P17"/>
  <c r="S14"/>
  <c r="P12"/>
  <c r="P20"/>
  <c r="S17"/>
  <c r="P15"/>
  <c r="S12"/>
  <c r="S20"/>
  <c r="P18"/>
  <c r="Q8"/>
  <c r="S15"/>
  <c r="P13"/>
  <c r="P21"/>
  <c r="S18"/>
  <c r="S15" i="105"/>
  <c r="P19"/>
  <c r="S17"/>
  <c r="P14"/>
  <c r="S16"/>
  <c r="P20"/>
  <c r="S19"/>
  <c r="P13"/>
  <c r="P18"/>
  <c r="S14"/>
  <c r="P17"/>
  <c r="S20"/>
  <c r="S21"/>
  <c r="S12"/>
  <c r="P12"/>
  <c r="Q8"/>
  <c r="P15"/>
  <c r="S13"/>
  <c r="P21"/>
  <c r="S18"/>
  <c r="S20" i="109"/>
  <c r="S18"/>
  <c r="S16"/>
  <c r="S14"/>
  <c r="S12"/>
  <c r="S21"/>
  <c r="S19"/>
  <c r="S17"/>
  <c r="S13"/>
  <c r="P18"/>
  <c r="P16"/>
  <c r="P14"/>
  <c r="P12"/>
  <c r="P21"/>
  <c r="P19"/>
  <c r="P17"/>
  <c r="P15"/>
  <c r="P13"/>
  <c r="S15"/>
  <c r="P20"/>
  <c r="J4" i="106"/>
  <c r="Q7" s="1"/>
  <c r="P7"/>
  <c r="S7" s="1"/>
  <c r="P8" s="1"/>
  <c r="P21" i="103"/>
  <c r="P19"/>
  <c r="P17"/>
  <c r="P15"/>
  <c r="P13"/>
  <c r="S21"/>
  <c r="S19"/>
  <c r="S17"/>
  <c r="S15"/>
  <c r="S13"/>
  <c r="P20"/>
  <c r="P18"/>
  <c r="P16"/>
  <c r="P14"/>
  <c r="P12"/>
  <c r="S20"/>
  <c r="S18"/>
  <c r="S16"/>
  <c r="S14"/>
  <c r="S12"/>
  <c r="Q8"/>
  <c r="P7" i="96"/>
  <c r="S7" s="1"/>
  <c r="P8" s="1"/>
  <c r="J4"/>
  <c r="Q7" s="1"/>
  <c r="K4" i="89"/>
  <c r="M92" i="55"/>
  <c r="J94"/>
  <c r="N94" s="1"/>
  <c r="F94"/>
  <c r="L94" s="1"/>
  <c r="M94" s="1"/>
  <c r="M93"/>
  <c r="I4" i="91"/>
  <c r="J4" s="1"/>
  <c r="K4"/>
  <c r="J93" i="55"/>
  <c r="N93" s="1"/>
  <c r="J4" i="92"/>
  <c r="Q7" s="1"/>
  <c r="R7" s="1"/>
  <c r="S18" s="1"/>
  <c r="R22"/>
  <c r="O22"/>
  <c r="K4" i="90"/>
  <c r="J92" i="55"/>
  <c r="N92" s="1"/>
  <c r="C4" i="89"/>
  <c r="F96" i="55" s="1"/>
  <c r="L96" s="1"/>
  <c r="E4" i="89"/>
  <c r="H96" i="55" s="1"/>
  <c r="K15" i="87"/>
  <c r="J15"/>
  <c r="I15"/>
  <c r="J14"/>
  <c r="I14"/>
  <c r="K14"/>
  <c r="K13"/>
  <c r="J13"/>
  <c r="I13"/>
  <c r="K12"/>
  <c r="J12"/>
  <c r="I12"/>
  <c r="K11"/>
  <c r="J11"/>
  <c r="I11"/>
  <c r="K10"/>
  <c r="J10"/>
  <c r="I10"/>
  <c r="K9"/>
  <c r="J9"/>
  <c r="I9"/>
  <c r="K8"/>
  <c r="J8"/>
  <c r="I8"/>
  <c r="K7" i="72"/>
  <c r="P23" i="114" l="1"/>
  <c r="S23"/>
  <c r="P22"/>
  <c r="S22"/>
  <c r="P14" i="110"/>
  <c r="S16"/>
  <c r="P19"/>
  <c r="S21"/>
  <c r="S13"/>
  <c r="P16"/>
  <c r="S18"/>
  <c r="P21"/>
  <c r="P13"/>
  <c r="S15"/>
  <c r="P18"/>
  <c r="S20"/>
  <c r="S12"/>
  <c r="P15"/>
  <c r="S17"/>
  <c r="P20"/>
  <c r="P12"/>
  <c r="S14"/>
  <c r="P17"/>
  <c r="S19"/>
  <c r="Q8"/>
  <c r="S23" i="108"/>
  <c r="P22"/>
  <c r="S22"/>
  <c r="P23"/>
  <c r="P22" i="105"/>
  <c r="R7" i="106"/>
  <c r="P18" s="1"/>
  <c r="P23" i="105"/>
  <c r="S23"/>
  <c r="S22"/>
  <c r="P22" i="109"/>
  <c r="S22"/>
  <c r="P23"/>
  <c r="S23"/>
  <c r="R22" i="106"/>
  <c r="O22"/>
  <c r="P23" i="103"/>
  <c r="S22"/>
  <c r="P22"/>
  <c r="S23"/>
  <c r="R7" i="96"/>
  <c r="S12" s="1"/>
  <c r="R22"/>
  <c r="O22"/>
  <c r="I4" i="89"/>
  <c r="P7" s="1"/>
  <c r="S7" s="1"/>
  <c r="P8" s="1"/>
  <c r="O22" s="1"/>
  <c r="P15" i="92"/>
  <c r="P14"/>
  <c r="P17"/>
  <c r="S16"/>
  <c r="S17"/>
  <c r="Q8"/>
  <c r="P18"/>
  <c r="P12"/>
  <c r="S19"/>
  <c r="P16"/>
  <c r="P21"/>
  <c r="S14"/>
  <c r="S15"/>
  <c r="P13"/>
  <c r="S12"/>
  <c r="S20"/>
  <c r="S13"/>
  <c r="S21"/>
  <c r="P19"/>
  <c r="P20"/>
  <c r="K7" i="67"/>
  <c r="J7"/>
  <c r="I7"/>
  <c r="M96" i="55" l="1"/>
  <c r="P22" i="110"/>
  <c r="P23"/>
  <c r="S23"/>
  <c r="S22"/>
  <c r="P13" i="106"/>
  <c r="P16"/>
  <c r="P21"/>
  <c r="P14"/>
  <c r="S13"/>
  <c r="S20"/>
  <c r="S19"/>
  <c r="P20"/>
  <c r="S17"/>
  <c r="S12"/>
  <c r="S21"/>
  <c r="S15"/>
  <c r="P15"/>
  <c r="P17"/>
  <c r="P19"/>
  <c r="P12"/>
  <c r="Q8"/>
  <c r="S14"/>
  <c r="S16"/>
  <c r="S18"/>
  <c r="P14" i="96"/>
  <c r="P19"/>
  <c r="S19"/>
  <c r="P20"/>
  <c r="S17"/>
  <c r="S18"/>
  <c r="P13"/>
  <c r="P12"/>
  <c r="Q8"/>
  <c r="S16"/>
  <c r="S15"/>
  <c r="S21"/>
  <c r="P21"/>
  <c r="P16"/>
  <c r="P15"/>
  <c r="S20"/>
  <c r="S13"/>
  <c r="P18"/>
  <c r="P17"/>
  <c r="S14"/>
  <c r="R22" i="89"/>
  <c r="J4"/>
  <c r="Q7" s="1"/>
  <c r="R7" s="1"/>
  <c r="P13" s="1"/>
  <c r="S22" i="92"/>
  <c r="P22"/>
  <c r="S23"/>
  <c r="P23"/>
  <c r="C4" i="67"/>
  <c r="I4" s="1"/>
  <c r="G4"/>
  <c r="K4" s="1"/>
  <c r="E4"/>
  <c r="S23" i="106" l="1"/>
  <c r="P22"/>
  <c r="S22"/>
  <c r="P23"/>
  <c r="P23" i="96"/>
  <c r="S22"/>
  <c r="S23"/>
  <c r="P22"/>
  <c r="P16" i="89"/>
  <c r="S15"/>
  <c r="S20"/>
  <c r="P20"/>
  <c r="S19"/>
  <c r="S16"/>
  <c r="Q8"/>
  <c r="P17"/>
  <c r="S12"/>
  <c r="P19"/>
  <c r="P14"/>
  <c r="S13"/>
  <c r="S21"/>
  <c r="P12"/>
  <c r="S17"/>
  <c r="S14"/>
  <c r="P15"/>
  <c r="S18"/>
  <c r="P18"/>
  <c r="P21"/>
  <c r="J4" i="67"/>
  <c r="H11" i="86"/>
  <c r="F9"/>
  <c r="E2"/>
  <c r="E91" i="55"/>
  <c r="E89"/>
  <c r="D91"/>
  <c r="K7" i="88"/>
  <c r="G4" s="1"/>
  <c r="K4" s="1"/>
  <c r="J7"/>
  <c r="E4" s="1"/>
  <c r="H91" i="55" s="1"/>
  <c r="I7" i="88"/>
  <c r="C4" s="1"/>
  <c r="K10" i="44"/>
  <c r="J10"/>
  <c r="I10"/>
  <c r="K10" i="43"/>
  <c r="J10"/>
  <c r="I10"/>
  <c r="K9" i="40"/>
  <c r="J9"/>
  <c r="I9"/>
  <c r="K9" i="28"/>
  <c r="J9"/>
  <c r="I9"/>
  <c r="K9" i="44"/>
  <c r="J9"/>
  <c r="I9"/>
  <c r="K9" i="43"/>
  <c r="J9"/>
  <c r="I9"/>
  <c r="K8" i="40"/>
  <c r="J8"/>
  <c r="I8"/>
  <c r="K8" i="28"/>
  <c r="J8"/>
  <c r="I8"/>
  <c r="K8" i="44"/>
  <c r="J8"/>
  <c r="I8"/>
  <c r="K8" i="43"/>
  <c r="J8"/>
  <c r="I8"/>
  <c r="K7" i="57"/>
  <c r="E90" i="55"/>
  <c r="D90"/>
  <c r="P23" i="89" l="1"/>
  <c r="S23"/>
  <c r="S22"/>
  <c r="P22"/>
  <c r="I4" i="88"/>
  <c r="J4" s="1"/>
  <c r="F91" i="55"/>
  <c r="L91" s="1"/>
  <c r="M91" s="1"/>
  <c r="J91"/>
  <c r="N91" s="1"/>
  <c r="I7" i="82"/>
  <c r="C4" s="1"/>
  <c r="J7"/>
  <c r="E4" s="1"/>
  <c r="K7"/>
  <c r="G4" s="1"/>
  <c r="K7" i="80"/>
  <c r="G4" s="1"/>
  <c r="J7"/>
  <c r="E4" s="1"/>
  <c r="I7"/>
  <c r="C4" s="1"/>
  <c r="I7" i="72"/>
  <c r="C4" s="1"/>
  <c r="J7"/>
  <c r="E4" s="1"/>
  <c r="G4"/>
  <c r="I7" i="62"/>
  <c r="C4" s="1"/>
  <c r="F66" i="55" s="1"/>
  <c r="L66" s="1"/>
  <c r="J7" i="62"/>
  <c r="E4" s="1"/>
  <c r="H66" i="55" s="1"/>
  <c r="K7" i="62"/>
  <c r="G4" s="1"/>
  <c r="J66" i="55" s="1"/>
  <c r="N66" s="1"/>
  <c r="I7" i="71"/>
  <c r="C4" s="1"/>
  <c r="J7"/>
  <c r="E4" s="1"/>
  <c r="K7"/>
  <c r="G4" s="1"/>
  <c r="K7" i="60"/>
  <c r="G4" s="1"/>
  <c r="J7"/>
  <c r="E4" s="1"/>
  <c r="I7"/>
  <c r="C4" s="1"/>
  <c r="K7" i="59"/>
  <c r="J7"/>
  <c r="E4" s="1"/>
  <c r="I7"/>
  <c r="C4" s="1"/>
  <c r="I4" s="1"/>
  <c r="K7" i="58"/>
  <c r="J7"/>
  <c r="I7"/>
  <c r="K7" i="37"/>
  <c r="J7"/>
  <c r="I7"/>
  <c r="I7" i="35"/>
  <c r="C4" s="1"/>
  <c r="J7"/>
  <c r="E4" s="1"/>
  <c r="K7"/>
  <c r="G4" s="1"/>
  <c r="I7" i="4"/>
  <c r="J7"/>
  <c r="K7"/>
  <c r="I7" i="46"/>
  <c r="C4" s="1"/>
  <c r="J7"/>
  <c r="E4" s="1"/>
  <c r="K7"/>
  <c r="G4" s="1"/>
  <c r="I7" i="87"/>
  <c r="C4" s="1"/>
  <c r="F90" i="55" s="1"/>
  <c r="L90" s="1"/>
  <c r="J7" i="87"/>
  <c r="E4" s="1"/>
  <c r="H90" i="55" s="1"/>
  <c r="K7" i="87"/>
  <c r="G4" s="1"/>
  <c r="J90" i="55" s="1"/>
  <c r="N90" s="1"/>
  <c r="M90" l="1"/>
  <c r="K4" i="87"/>
  <c r="I4"/>
  <c r="J4" s="1"/>
  <c r="G4" i="42" l="1"/>
  <c r="K4" s="1"/>
  <c r="I7" i="56" l="1"/>
  <c r="J7"/>
  <c r="K7"/>
  <c r="K11" i="32"/>
  <c r="J10"/>
  <c r="J11"/>
  <c r="I10"/>
  <c r="I11"/>
  <c r="K12" i="29"/>
  <c r="K13"/>
  <c r="K14"/>
  <c r="K15"/>
  <c r="J13"/>
  <c r="J14"/>
  <c r="J15"/>
  <c r="I14"/>
  <c r="I15"/>
  <c r="C3" i="86"/>
  <c r="B3"/>
  <c r="K10" i="39"/>
  <c r="J8"/>
  <c r="J9"/>
  <c r="J10"/>
  <c r="I9"/>
  <c r="I10"/>
  <c r="K9" i="54"/>
  <c r="K10"/>
  <c r="J10"/>
  <c r="I9"/>
  <c r="I10"/>
  <c r="K10" i="32"/>
  <c r="I8"/>
  <c r="I9"/>
  <c r="I13" i="29"/>
  <c r="K9" i="39"/>
  <c r="J12" i="29"/>
  <c r="I12"/>
  <c r="J9" i="54"/>
  <c r="K9" i="32"/>
  <c r="J9"/>
  <c r="K11" i="29"/>
  <c r="J11"/>
  <c r="I11"/>
  <c r="K8" i="39"/>
  <c r="I8"/>
  <c r="K10" i="29"/>
  <c r="J10"/>
  <c r="I10"/>
  <c r="K8" i="32"/>
  <c r="J8"/>
  <c r="K8" i="54"/>
  <c r="J8"/>
  <c r="I8"/>
  <c r="K9" i="29"/>
  <c r="J9"/>
  <c r="I9"/>
  <c r="K8"/>
  <c r="J8"/>
  <c r="I8"/>
  <c r="K7" i="85"/>
  <c r="J7"/>
  <c r="E4" s="1"/>
  <c r="I7"/>
  <c r="C4" s="1"/>
  <c r="K4" i="55"/>
  <c r="E3" i="86" l="1"/>
  <c r="E4" s="1"/>
  <c r="F4" s="1"/>
  <c r="G4" i="85"/>
  <c r="H89" i="55"/>
  <c r="F89"/>
  <c r="K7" i="78"/>
  <c r="E88" i="55"/>
  <c r="D88"/>
  <c r="E87"/>
  <c r="D87"/>
  <c r="E86"/>
  <c r="D86"/>
  <c r="E85"/>
  <c r="D85"/>
  <c r="E84"/>
  <c r="E83"/>
  <c r="D83"/>
  <c r="E82"/>
  <c r="D82"/>
  <c r="E81"/>
  <c r="D81"/>
  <c r="E80"/>
  <c r="D80"/>
  <c r="E79"/>
  <c r="D79"/>
  <c r="E78"/>
  <c r="D78"/>
  <c r="E77"/>
  <c r="D77"/>
  <c r="E76"/>
  <c r="D76"/>
  <c r="E75"/>
  <c r="D75"/>
  <c r="E74"/>
  <c r="D74"/>
  <c r="E73"/>
  <c r="D73"/>
  <c r="E72"/>
  <c r="D72"/>
  <c r="E71"/>
  <c r="D71"/>
  <c r="E70"/>
  <c r="D70"/>
  <c r="E69"/>
  <c r="D69"/>
  <c r="E68"/>
  <c r="D68"/>
  <c r="E67"/>
  <c r="D67"/>
  <c r="E65"/>
  <c r="D65"/>
  <c r="E64"/>
  <c r="D64"/>
  <c r="E63"/>
  <c r="D63"/>
  <c r="E62"/>
  <c r="D62"/>
  <c r="E61"/>
  <c r="D61"/>
  <c r="H88"/>
  <c r="R23" i="83"/>
  <c r="O23"/>
  <c r="O7"/>
  <c r="O8" s="1"/>
  <c r="K7"/>
  <c r="J7"/>
  <c r="I7"/>
  <c r="R24" i="82"/>
  <c r="O24"/>
  <c r="O7"/>
  <c r="O8" s="1"/>
  <c r="R23" i="81"/>
  <c r="O23"/>
  <c r="O7"/>
  <c r="O8" s="1"/>
  <c r="K7"/>
  <c r="G4" s="1"/>
  <c r="J7"/>
  <c r="E4" s="1"/>
  <c r="I7"/>
  <c r="C4" s="1"/>
  <c r="R23" i="80"/>
  <c r="O23"/>
  <c r="P21"/>
  <c r="P20"/>
  <c r="P19"/>
  <c r="O7"/>
  <c r="O8" s="1"/>
  <c r="R23" i="79"/>
  <c r="O23"/>
  <c r="O7"/>
  <c r="O8" s="1"/>
  <c r="K7"/>
  <c r="G4" s="1"/>
  <c r="J7"/>
  <c r="E4" s="1"/>
  <c r="I7"/>
  <c r="C4" s="1"/>
  <c r="R23" i="78"/>
  <c r="O23"/>
  <c r="P21"/>
  <c r="P20"/>
  <c r="P19"/>
  <c r="O7"/>
  <c r="O8" s="1"/>
  <c r="J7"/>
  <c r="I7"/>
  <c r="R23" i="77"/>
  <c r="O23"/>
  <c r="O7"/>
  <c r="O8" s="1"/>
  <c r="G4"/>
  <c r="K4" s="1"/>
  <c r="J7"/>
  <c r="E4" s="1"/>
  <c r="H81" i="55" s="1"/>
  <c r="I7" i="77"/>
  <c r="C4" s="1"/>
  <c r="I4" s="1"/>
  <c r="R23" i="76"/>
  <c r="O23"/>
  <c r="K13"/>
  <c r="J13"/>
  <c r="I13"/>
  <c r="K12"/>
  <c r="J12"/>
  <c r="I12"/>
  <c r="K11"/>
  <c r="J11"/>
  <c r="I11"/>
  <c r="K10"/>
  <c r="J10"/>
  <c r="I10"/>
  <c r="K9"/>
  <c r="J9"/>
  <c r="I9"/>
  <c r="K8"/>
  <c r="J8"/>
  <c r="I8"/>
  <c r="O7"/>
  <c r="O8" s="1"/>
  <c r="K7"/>
  <c r="J7"/>
  <c r="I7"/>
  <c r="R23" i="75"/>
  <c r="O23"/>
  <c r="O7"/>
  <c r="O8" s="1"/>
  <c r="K7"/>
  <c r="G4" s="1"/>
  <c r="K4" s="1"/>
  <c r="J7"/>
  <c r="E4" s="1"/>
  <c r="I7"/>
  <c r="C4" s="1"/>
  <c r="I4" s="1"/>
  <c r="R23" i="74"/>
  <c r="O23"/>
  <c r="O7"/>
  <c r="O8" s="1"/>
  <c r="K7"/>
  <c r="J7"/>
  <c r="I7"/>
  <c r="W56" i="73"/>
  <c r="V56"/>
  <c r="U56"/>
  <c r="W55"/>
  <c r="V55"/>
  <c r="U55"/>
  <c r="R23"/>
  <c r="O23"/>
  <c r="O7"/>
  <c r="O8" s="1"/>
  <c r="K7"/>
  <c r="G4" s="1"/>
  <c r="K4" s="1"/>
  <c r="J7"/>
  <c r="E4" s="1"/>
  <c r="I7"/>
  <c r="C4" s="1"/>
  <c r="R23" i="72"/>
  <c r="O23"/>
  <c r="O7"/>
  <c r="O8" s="1"/>
  <c r="R23" i="71"/>
  <c r="O23"/>
  <c r="O7"/>
  <c r="O8" s="1"/>
  <c r="R23" i="70"/>
  <c r="O23"/>
  <c r="O7"/>
  <c r="O8" s="1"/>
  <c r="K7"/>
  <c r="J7"/>
  <c r="I7"/>
  <c r="R23" i="69"/>
  <c r="O23"/>
  <c r="O7"/>
  <c r="O8" s="1"/>
  <c r="K7"/>
  <c r="J7"/>
  <c r="I7"/>
  <c r="R23" i="68"/>
  <c r="O23"/>
  <c r="O7"/>
  <c r="O8" s="1"/>
  <c r="K7"/>
  <c r="G4" s="1"/>
  <c r="K4" s="1"/>
  <c r="J7"/>
  <c r="E4" s="1"/>
  <c r="H72" i="55" s="1"/>
  <c r="I7" i="68"/>
  <c r="C4" s="1"/>
  <c r="R23" i="67"/>
  <c r="O23"/>
  <c r="O7"/>
  <c r="O8" s="1"/>
  <c r="H71" i="55"/>
  <c r="R23" i="66"/>
  <c r="O23"/>
  <c r="O7"/>
  <c r="K7"/>
  <c r="G4" s="1"/>
  <c r="J7"/>
  <c r="E4" s="1"/>
  <c r="I7"/>
  <c r="C4" s="1"/>
  <c r="R23" i="65"/>
  <c r="O23"/>
  <c r="O7"/>
  <c r="O8" s="1"/>
  <c r="K7"/>
  <c r="J7"/>
  <c r="I7"/>
  <c r="R23" i="64"/>
  <c r="O23"/>
  <c r="O7"/>
  <c r="O8" s="1"/>
  <c r="K7"/>
  <c r="G4" s="1"/>
  <c r="J7"/>
  <c r="E4" s="1"/>
  <c r="I7"/>
  <c r="C4" s="1"/>
  <c r="R23" i="62"/>
  <c r="O23"/>
  <c r="O7"/>
  <c r="O8" s="1"/>
  <c r="R23" i="61"/>
  <c r="O23"/>
  <c r="O7"/>
  <c r="O8" s="1"/>
  <c r="K7"/>
  <c r="G4" s="1"/>
  <c r="K4" s="1"/>
  <c r="J7"/>
  <c r="E4" s="1"/>
  <c r="H65" i="55" s="1"/>
  <c r="I7" i="61"/>
  <c r="C4" s="1"/>
  <c r="I4" s="1"/>
  <c r="R23" i="60"/>
  <c r="O23"/>
  <c r="O7"/>
  <c r="O8" s="1"/>
  <c r="R23" i="59"/>
  <c r="O23"/>
  <c r="O7"/>
  <c r="O8" s="1"/>
  <c r="R23" i="58"/>
  <c r="O23"/>
  <c r="O7"/>
  <c r="O8" s="1"/>
  <c r="G4"/>
  <c r="E4"/>
  <c r="C4"/>
  <c r="R23" i="57"/>
  <c r="O23"/>
  <c r="O8"/>
  <c r="O7"/>
  <c r="J7"/>
  <c r="I7"/>
  <c r="C4" s="1"/>
  <c r="E60" i="55"/>
  <c r="D60"/>
  <c r="R23" i="56"/>
  <c r="O23"/>
  <c r="O7"/>
  <c r="O8" s="1"/>
  <c r="E23" i="55"/>
  <c r="L23"/>
  <c r="N18"/>
  <c r="M4"/>
  <c r="G5" s="1"/>
  <c r="E22" s="1"/>
  <c r="E4" i="76" l="1"/>
  <c r="H80" i="55" s="1"/>
  <c r="C4" i="76"/>
  <c r="G4"/>
  <c r="J88" i="55"/>
  <c r="N88" s="1"/>
  <c r="F88"/>
  <c r="L88" s="1"/>
  <c r="M88" s="1"/>
  <c r="I4" i="68"/>
  <c r="J4" s="1"/>
  <c r="Q7" s="1"/>
  <c r="F72" i="55"/>
  <c r="L72" s="1"/>
  <c r="M72" s="1"/>
  <c r="J72"/>
  <c r="N72" s="1"/>
  <c r="F65"/>
  <c r="L65" s="1"/>
  <c r="M65" s="1"/>
  <c r="J65"/>
  <c r="N65" s="1"/>
  <c r="J79"/>
  <c r="N79" s="1"/>
  <c r="H79"/>
  <c r="F79"/>
  <c r="L79" s="1"/>
  <c r="K4" i="85"/>
  <c r="J89" i="55"/>
  <c r="N89" s="1"/>
  <c r="I4" i="85"/>
  <c r="J4" s="1"/>
  <c r="F81" i="55"/>
  <c r="L81" s="1"/>
  <c r="M81" s="1"/>
  <c r="J81"/>
  <c r="N81" s="1"/>
  <c r="J77"/>
  <c r="N77" s="1"/>
  <c r="F77"/>
  <c r="L77" s="1"/>
  <c r="H77"/>
  <c r="E4" i="83"/>
  <c r="H87" i="55" s="1"/>
  <c r="E4" i="69"/>
  <c r="H73" i="55" s="1"/>
  <c r="G4" i="57"/>
  <c r="K4" s="1"/>
  <c r="G4" i="65"/>
  <c r="K4" s="1"/>
  <c r="I4" i="82"/>
  <c r="P7" s="1"/>
  <c r="S7" s="1"/>
  <c r="P8" s="1"/>
  <c r="K4" i="58"/>
  <c r="E4" i="57"/>
  <c r="H61" i="55" s="1"/>
  <c r="G4" i="56"/>
  <c r="K4" s="1"/>
  <c r="E4"/>
  <c r="H60" i="55" s="1"/>
  <c r="C4" i="70"/>
  <c r="I4" s="1"/>
  <c r="P7" s="1"/>
  <c r="S7" s="1"/>
  <c r="P8" s="1"/>
  <c r="K4" i="62"/>
  <c r="I4" i="79"/>
  <c r="P7" s="1"/>
  <c r="S7" s="1"/>
  <c r="P8" s="1"/>
  <c r="E4" i="74"/>
  <c r="H78" i="55" s="1"/>
  <c r="J83"/>
  <c r="N83" s="1"/>
  <c r="H85"/>
  <c r="I4" i="81"/>
  <c r="P7" s="1"/>
  <c r="S7" s="1"/>
  <c r="P8" s="1"/>
  <c r="G4" i="83"/>
  <c r="K4" s="1"/>
  <c r="H68" i="55"/>
  <c r="I4" i="64"/>
  <c r="K4" i="72"/>
  <c r="K4" i="71"/>
  <c r="H75" i="55"/>
  <c r="G4" i="78"/>
  <c r="K4" s="1"/>
  <c r="H86" i="55"/>
  <c r="K4" i="81"/>
  <c r="H76" i="55"/>
  <c r="I4" i="72"/>
  <c r="G4" i="59"/>
  <c r="K4" s="1"/>
  <c r="C4" i="74"/>
  <c r="I4" s="1"/>
  <c r="P7" s="1"/>
  <c r="S7" s="1"/>
  <c r="P8" s="1"/>
  <c r="H70" i="55"/>
  <c r="C4" i="65"/>
  <c r="I4" s="1"/>
  <c r="P7" s="1"/>
  <c r="S7" s="1"/>
  <c r="P8" s="1"/>
  <c r="E4" i="78"/>
  <c r="H82" i="55" s="1"/>
  <c r="C4" i="78"/>
  <c r="I4" s="1"/>
  <c r="G4" i="70"/>
  <c r="K4" s="1"/>
  <c r="I4" i="57"/>
  <c r="P7" s="1"/>
  <c r="S7" s="1"/>
  <c r="P8" s="1"/>
  <c r="I4" i="58"/>
  <c r="P7" s="1"/>
  <c r="S7" s="1"/>
  <c r="P8" s="1"/>
  <c r="H63" i="55"/>
  <c r="H67"/>
  <c r="H83"/>
  <c r="J71"/>
  <c r="N71" s="1"/>
  <c r="F71"/>
  <c r="L71" s="1"/>
  <c r="M71" s="1"/>
  <c r="I4" i="71"/>
  <c r="P7" s="1"/>
  <c r="S7" s="1"/>
  <c r="P8" s="1"/>
  <c r="J64" i="55"/>
  <c r="N64" s="1"/>
  <c r="K4" i="66"/>
  <c r="P7" i="59"/>
  <c r="S7" s="1"/>
  <c r="P8" s="1"/>
  <c r="C4" i="69"/>
  <c r="G4"/>
  <c r="I4" i="62"/>
  <c r="P7" s="1"/>
  <c r="S7" s="1"/>
  <c r="P8" s="1"/>
  <c r="E4" i="65"/>
  <c r="H69" i="55" s="1"/>
  <c r="C4" i="56"/>
  <c r="E4" i="70"/>
  <c r="H74" i="55" s="1"/>
  <c r="H62"/>
  <c r="C4" i="83"/>
  <c r="K4" i="64"/>
  <c r="H64" i="55"/>
  <c r="I4" i="60"/>
  <c r="G4" i="74"/>
  <c r="K4" i="80"/>
  <c r="H84" i="55"/>
  <c r="I4" i="80"/>
  <c r="G12" i="55"/>
  <c r="G16"/>
  <c r="G20"/>
  <c r="N11"/>
  <c r="N19"/>
  <c r="G10"/>
  <c r="G14"/>
  <c r="G18"/>
  <c r="N9"/>
  <c r="N13"/>
  <c r="N17"/>
  <c r="N21"/>
  <c r="G9"/>
  <c r="G13"/>
  <c r="G17"/>
  <c r="G21"/>
  <c r="N12"/>
  <c r="N16"/>
  <c r="N20"/>
  <c r="N15"/>
  <c r="G11"/>
  <c r="G15"/>
  <c r="G19"/>
  <c r="N10"/>
  <c r="N14"/>
  <c r="J4" i="77"/>
  <c r="Q7" s="1"/>
  <c r="P7"/>
  <c r="S7" s="1"/>
  <c r="P8" s="1"/>
  <c r="P7" i="75"/>
  <c r="S7" s="1"/>
  <c r="P8" s="1"/>
  <c r="P7" i="67"/>
  <c r="S7" s="1"/>
  <c r="P8" s="1"/>
  <c r="Q7"/>
  <c r="J4" i="61"/>
  <c r="Q7" s="1"/>
  <c r="P7"/>
  <c r="S7" s="1"/>
  <c r="P8" s="1"/>
  <c r="I5" i="55"/>
  <c r="L22"/>
  <c r="K4" i="76" l="1"/>
  <c r="J80" i="55"/>
  <c r="N80" s="1"/>
  <c r="I4" i="76"/>
  <c r="F80" i="55"/>
  <c r="L80" s="1"/>
  <c r="M80" s="1"/>
  <c r="P7" i="68"/>
  <c r="S7" s="1"/>
  <c r="P8" s="1"/>
  <c r="O22" s="1"/>
  <c r="R7" i="61"/>
  <c r="P20" s="1"/>
  <c r="L89" i="55"/>
  <c r="M89" s="1"/>
  <c r="M79"/>
  <c r="J4" i="75"/>
  <c r="Q7" s="1"/>
  <c r="R7" s="1"/>
  <c r="R7" i="77"/>
  <c r="S19" s="1"/>
  <c r="I4" i="73"/>
  <c r="P7" s="1"/>
  <c r="S7" s="1"/>
  <c r="P8" s="1"/>
  <c r="O22" s="1"/>
  <c r="M77" i="55"/>
  <c r="F67"/>
  <c r="L67" s="1"/>
  <c r="M67" s="1"/>
  <c r="J60"/>
  <c r="J62"/>
  <c r="N62" s="1"/>
  <c r="J61"/>
  <c r="N61" s="1"/>
  <c r="J69"/>
  <c r="N69" s="1"/>
  <c r="F85"/>
  <c r="L85" s="1"/>
  <c r="M85" s="1"/>
  <c r="F86"/>
  <c r="L86" s="1"/>
  <c r="M86" s="1"/>
  <c r="J75"/>
  <c r="N75" s="1"/>
  <c r="J70"/>
  <c r="N70" s="1"/>
  <c r="J4" i="74"/>
  <c r="Q7" s="1"/>
  <c r="R7" s="1"/>
  <c r="Q8" s="1"/>
  <c r="F74" i="55"/>
  <c r="L74" s="1"/>
  <c r="M74" s="1"/>
  <c r="J76"/>
  <c r="N76" s="1"/>
  <c r="J4" i="64"/>
  <c r="Q7" s="1"/>
  <c r="P7"/>
  <c r="S7" s="1"/>
  <c r="P8" s="1"/>
  <c r="R22" s="1"/>
  <c r="F68" i="55"/>
  <c r="L68" s="1"/>
  <c r="M68" s="1"/>
  <c r="J4" i="81"/>
  <c r="Q7" s="1"/>
  <c r="R7" s="1"/>
  <c r="Q8" s="1"/>
  <c r="F83" i="55"/>
  <c r="L83" s="1"/>
  <c r="M83" s="1"/>
  <c r="F78"/>
  <c r="L78" s="1"/>
  <c r="M78" s="1"/>
  <c r="K4" i="79"/>
  <c r="J87" i="55"/>
  <c r="N87" s="1"/>
  <c r="J82"/>
  <c r="N82" s="1"/>
  <c r="F62"/>
  <c r="L62" s="1"/>
  <c r="M62" s="1"/>
  <c r="J4" i="82"/>
  <c r="Q7" s="1"/>
  <c r="R7" s="1"/>
  <c r="J85" i="55"/>
  <c r="N85" s="1"/>
  <c r="J4" i="72"/>
  <c r="Q7" s="1"/>
  <c r="F76" i="55"/>
  <c r="L76" s="1"/>
  <c r="M76" s="1"/>
  <c r="P7" i="72"/>
  <c r="S7" s="1"/>
  <c r="P8" s="1"/>
  <c r="O22" s="1"/>
  <c r="J63" i="55"/>
  <c r="N63" s="1"/>
  <c r="J4" i="79"/>
  <c r="Q7" s="1"/>
  <c r="R7" s="1"/>
  <c r="P18" s="1"/>
  <c r="F69" i="55"/>
  <c r="L69" s="1"/>
  <c r="M69" s="1"/>
  <c r="J4" i="78"/>
  <c r="Q7" s="1"/>
  <c r="F82" i="55"/>
  <c r="L82" s="1"/>
  <c r="M82" s="1"/>
  <c r="P7" i="78"/>
  <c r="S7" s="1"/>
  <c r="P8" s="1"/>
  <c r="R22" s="1"/>
  <c r="J74" i="55"/>
  <c r="N74" s="1"/>
  <c r="J4" i="57"/>
  <c r="Q7" s="1"/>
  <c r="R7" s="1"/>
  <c r="Q8" s="1"/>
  <c r="F61" i="55"/>
  <c r="L61" s="1"/>
  <c r="M61" s="1"/>
  <c r="J67"/>
  <c r="N67" s="1"/>
  <c r="R7" i="67"/>
  <c r="S17" s="1"/>
  <c r="F75" i="55"/>
  <c r="L75" s="1"/>
  <c r="M75" s="1"/>
  <c r="J4" i="71"/>
  <c r="Q7" s="1"/>
  <c r="R7" s="1"/>
  <c r="P18" s="1"/>
  <c r="K4" i="60"/>
  <c r="F63" i="55"/>
  <c r="L63" s="1"/>
  <c r="M63" s="1"/>
  <c r="J4" i="59"/>
  <c r="Q7" s="1"/>
  <c r="R7" s="1"/>
  <c r="S16" s="1"/>
  <c r="I4" i="69"/>
  <c r="F73" i="55"/>
  <c r="L73" s="1"/>
  <c r="M73" s="1"/>
  <c r="K4" i="69"/>
  <c r="J73" i="55"/>
  <c r="N73" s="1"/>
  <c r="M66"/>
  <c r="J4" i="62"/>
  <c r="Q7" s="1"/>
  <c r="R7" s="1"/>
  <c r="P18" s="1"/>
  <c r="J4" i="65"/>
  <c r="Q7" s="1"/>
  <c r="R7" s="1"/>
  <c r="Q8" s="1"/>
  <c r="I4" i="56"/>
  <c r="F60" i="55"/>
  <c r="J4" i="70"/>
  <c r="Q7" s="1"/>
  <c r="R7" s="1"/>
  <c r="Q8" s="1"/>
  <c r="J4" i="58"/>
  <c r="Q7" s="1"/>
  <c r="R7" s="1"/>
  <c r="Q8" s="1"/>
  <c r="I4" i="83"/>
  <c r="F87" i="55"/>
  <c r="L87" s="1"/>
  <c r="M87" s="1"/>
  <c r="J68"/>
  <c r="N68" s="1"/>
  <c r="J4" i="60"/>
  <c r="Q7" s="1"/>
  <c r="P7"/>
  <c r="S7" s="1"/>
  <c r="P8" s="1"/>
  <c r="R22" s="1"/>
  <c r="F64" i="55"/>
  <c r="L64" s="1"/>
  <c r="M64" s="1"/>
  <c r="K4" i="74"/>
  <c r="J78" i="55"/>
  <c r="N78" s="1"/>
  <c r="I4" i="66"/>
  <c r="F70" i="55"/>
  <c r="L70" s="1"/>
  <c r="M70" s="1"/>
  <c r="F84"/>
  <c r="J4" i="80"/>
  <c r="Q7" s="1"/>
  <c r="J84" i="55"/>
  <c r="N84" s="1"/>
  <c r="P7" i="80"/>
  <c r="S7" s="1"/>
  <c r="P8" s="1"/>
  <c r="O22" s="1"/>
  <c r="K4" i="82"/>
  <c r="J86" i="55"/>
  <c r="N86" s="1"/>
  <c r="N23"/>
  <c r="G23"/>
  <c r="R23" i="82"/>
  <c r="O23"/>
  <c r="O22" i="81"/>
  <c r="R22"/>
  <c r="O22" i="79"/>
  <c r="R22"/>
  <c r="O22" i="77"/>
  <c r="R22"/>
  <c r="O22" i="75"/>
  <c r="R22"/>
  <c r="O22" i="74"/>
  <c r="R22"/>
  <c r="O22" i="71"/>
  <c r="R22"/>
  <c r="O22" i="70"/>
  <c r="R22"/>
  <c r="O22" i="67"/>
  <c r="R22"/>
  <c r="O22" i="65"/>
  <c r="R22"/>
  <c r="O22" i="62"/>
  <c r="R22"/>
  <c r="O22" i="61"/>
  <c r="R22"/>
  <c r="R22" i="59"/>
  <c r="O22"/>
  <c r="O22" i="58"/>
  <c r="R22"/>
  <c r="R22" i="57"/>
  <c r="O22"/>
  <c r="G22" i="55"/>
  <c r="N22"/>
  <c r="P7" i="76" l="1"/>
  <c r="S7" s="1"/>
  <c r="P8" s="1"/>
  <c r="J4"/>
  <c r="Q7" s="1"/>
  <c r="L84" i="55"/>
  <c r="M84" s="1"/>
  <c r="R22" i="68"/>
  <c r="R7"/>
  <c r="P18" s="1"/>
  <c r="S20" i="61"/>
  <c r="P12"/>
  <c r="P15"/>
  <c r="P18"/>
  <c r="S17"/>
  <c r="P14"/>
  <c r="S15"/>
  <c r="S12"/>
  <c r="P21"/>
  <c r="S18"/>
  <c r="P16"/>
  <c r="Q8"/>
  <c r="S13"/>
  <c r="S21"/>
  <c r="P19"/>
  <c r="S16"/>
  <c r="S19"/>
  <c r="P17"/>
  <c r="S14"/>
  <c r="P13"/>
  <c r="S12" i="67"/>
  <c r="S15"/>
  <c r="P14"/>
  <c r="S19"/>
  <c r="P16" i="75"/>
  <c r="P14"/>
  <c r="Q8"/>
  <c r="P13"/>
  <c r="S17"/>
  <c r="S13"/>
  <c r="S15"/>
  <c r="P15"/>
  <c r="S12"/>
  <c r="S20"/>
  <c r="P12"/>
  <c r="P20"/>
  <c r="S14"/>
  <c r="S21"/>
  <c r="S18"/>
  <c r="P19"/>
  <c r="P18"/>
  <c r="P21"/>
  <c r="S19"/>
  <c r="S16"/>
  <c r="P17"/>
  <c r="S13" i="77"/>
  <c r="P17"/>
  <c r="P15"/>
  <c r="P16"/>
  <c r="P21"/>
  <c r="S21"/>
  <c r="S16"/>
  <c r="S15"/>
  <c r="P19"/>
  <c r="S17"/>
  <c r="P13"/>
  <c r="P12"/>
  <c r="P20"/>
  <c r="S14"/>
  <c r="P18"/>
  <c r="Q8"/>
  <c r="S18"/>
  <c r="P14"/>
  <c r="S12"/>
  <c r="S20"/>
  <c r="R22" i="73"/>
  <c r="J4"/>
  <c r="Q7" s="1"/>
  <c r="R7" s="1"/>
  <c r="Q8" s="1"/>
  <c r="R22" i="72"/>
  <c r="O22" i="78"/>
  <c r="O22" i="64"/>
  <c r="R7"/>
  <c r="P20" s="1"/>
  <c r="P12" i="59"/>
  <c r="Q8"/>
  <c r="R7" i="72"/>
  <c r="S18" s="1"/>
  <c r="P13" i="59"/>
  <c r="S13"/>
  <c r="S18"/>
  <c r="S15"/>
  <c r="P15" i="62"/>
  <c r="S15"/>
  <c r="S19"/>
  <c r="S17"/>
  <c r="P20"/>
  <c r="R7" i="60"/>
  <c r="Q8" s="1"/>
  <c r="S20" i="59"/>
  <c r="P16"/>
  <c r="P15"/>
  <c r="S14"/>
  <c r="P20"/>
  <c r="S21"/>
  <c r="P18"/>
  <c r="S17"/>
  <c r="P19"/>
  <c r="P21"/>
  <c r="O22" i="60"/>
  <c r="S12" i="71"/>
  <c r="Q8"/>
  <c r="R7" i="78"/>
  <c r="Q8" s="1"/>
  <c r="S20" i="62"/>
  <c r="P14" i="59"/>
  <c r="S12"/>
  <c r="S19"/>
  <c r="P17"/>
  <c r="P15" i="67"/>
  <c r="S14"/>
  <c r="P20"/>
  <c r="Q8"/>
  <c r="P19"/>
  <c r="S16"/>
  <c r="P12"/>
  <c r="S20"/>
  <c r="P18"/>
  <c r="P21"/>
  <c r="P17"/>
  <c r="S13"/>
  <c r="P16"/>
  <c r="P13"/>
  <c r="S21"/>
  <c r="S18"/>
  <c r="S21" i="71"/>
  <c r="S16"/>
  <c r="S14"/>
  <c r="S15"/>
  <c r="P19"/>
  <c r="P16"/>
  <c r="S13"/>
  <c r="P17"/>
  <c r="P14"/>
  <c r="S19"/>
  <c r="P15"/>
  <c r="P12"/>
  <c r="S20"/>
  <c r="P20"/>
  <c r="S17"/>
  <c r="P13"/>
  <c r="P21"/>
  <c r="S18"/>
  <c r="P7" i="69"/>
  <c r="S7" s="1"/>
  <c r="P8" s="1"/>
  <c r="J4"/>
  <c r="Q7" s="1"/>
  <c r="S13" i="62"/>
  <c r="P12"/>
  <c r="P17"/>
  <c r="P13"/>
  <c r="S21"/>
  <c r="S12"/>
  <c r="P16"/>
  <c r="S14"/>
  <c r="Q8"/>
  <c r="P21"/>
  <c r="P14"/>
  <c r="S16"/>
  <c r="S18"/>
  <c r="P19"/>
  <c r="J4" i="56"/>
  <c r="Q7" s="1"/>
  <c r="P7"/>
  <c r="S7" s="1"/>
  <c r="P8" s="1"/>
  <c r="P7" i="83"/>
  <c r="S7" s="1"/>
  <c r="P8" s="1"/>
  <c r="J4"/>
  <c r="Q7" s="1"/>
  <c r="P21" i="79"/>
  <c r="P13"/>
  <c r="Q8"/>
  <c r="S21"/>
  <c r="S18"/>
  <c r="S15"/>
  <c r="S16"/>
  <c r="P16"/>
  <c r="S13"/>
  <c r="P19"/>
  <c r="P14"/>
  <c r="S19"/>
  <c r="P17"/>
  <c r="S14"/>
  <c r="P12"/>
  <c r="P20"/>
  <c r="S17"/>
  <c r="P15"/>
  <c r="S12"/>
  <c r="S20"/>
  <c r="P7" i="66"/>
  <c r="S7" s="1"/>
  <c r="P8" s="1"/>
  <c r="J4"/>
  <c r="Q7" s="1"/>
  <c r="R7" i="80"/>
  <c r="Q8" s="1"/>
  <c r="R22"/>
  <c r="S21" i="82"/>
  <c r="S19"/>
  <c r="S16"/>
  <c r="S14"/>
  <c r="S12"/>
  <c r="P22"/>
  <c r="P20"/>
  <c r="P18"/>
  <c r="P15"/>
  <c r="P13"/>
  <c r="P21"/>
  <c r="P19"/>
  <c r="P16"/>
  <c r="P12"/>
  <c r="S22"/>
  <c r="S20"/>
  <c r="S18"/>
  <c r="S15"/>
  <c r="S13"/>
  <c r="P14"/>
  <c r="Q8"/>
  <c r="P20" i="81"/>
  <c r="P18"/>
  <c r="P16"/>
  <c r="P14"/>
  <c r="P12"/>
  <c r="S20"/>
  <c r="S18"/>
  <c r="S16"/>
  <c r="S14"/>
  <c r="S12"/>
  <c r="P21"/>
  <c r="P19"/>
  <c r="P17"/>
  <c r="P15"/>
  <c r="P13"/>
  <c r="S21"/>
  <c r="S19"/>
  <c r="S17"/>
  <c r="S15"/>
  <c r="S13"/>
  <c r="P20" i="74"/>
  <c r="P18"/>
  <c r="P16"/>
  <c r="P14"/>
  <c r="P12"/>
  <c r="S21"/>
  <c r="S15"/>
  <c r="S20"/>
  <c r="S18"/>
  <c r="S16"/>
  <c r="S14"/>
  <c r="S12"/>
  <c r="P21"/>
  <c r="P19"/>
  <c r="P17"/>
  <c r="P15"/>
  <c r="P13"/>
  <c r="S19"/>
  <c r="S17"/>
  <c r="S13"/>
  <c r="P20" i="70"/>
  <c r="P18"/>
  <c r="P16"/>
  <c r="P14"/>
  <c r="P12"/>
  <c r="S20"/>
  <c r="S18"/>
  <c r="S16"/>
  <c r="S14"/>
  <c r="S12"/>
  <c r="P21"/>
  <c r="P19"/>
  <c r="P17"/>
  <c r="P15"/>
  <c r="P13"/>
  <c r="S21"/>
  <c r="S19"/>
  <c r="S17"/>
  <c r="S15"/>
  <c r="S13"/>
  <c r="P20" i="65"/>
  <c r="P18"/>
  <c r="P16"/>
  <c r="P14"/>
  <c r="P12"/>
  <c r="P21"/>
  <c r="P17"/>
  <c r="P13"/>
  <c r="S20"/>
  <c r="S18"/>
  <c r="S16"/>
  <c r="S14"/>
  <c r="S12"/>
  <c r="P19"/>
  <c r="P15"/>
  <c r="S21"/>
  <c r="S19"/>
  <c r="S17"/>
  <c r="S15"/>
  <c r="S13"/>
  <c r="P20" i="58"/>
  <c r="P18"/>
  <c r="P16"/>
  <c r="P14"/>
  <c r="P12"/>
  <c r="P21"/>
  <c r="P19"/>
  <c r="P15"/>
  <c r="S20"/>
  <c r="S18"/>
  <c r="S16"/>
  <c r="S14"/>
  <c r="S12"/>
  <c r="P17"/>
  <c r="P13"/>
  <c r="S21"/>
  <c r="S19"/>
  <c r="S17"/>
  <c r="S15"/>
  <c r="S13"/>
  <c r="S20" i="57"/>
  <c r="S18"/>
  <c r="S16"/>
  <c r="S14"/>
  <c r="S12"/>
  <c r="P21"/>
  <c r="P19"/>
  <c r="P17"/>
  <c r="P15"/>
  <c r="P13"/>
  <c r="S21"/>
  <c r="S19"/>
  <c r="S17"/>
  <c r="S15"/>
  <c r="S13"/>
  <c r="P20"/>
  <c r="P18"/>
  <c r="P16"/>
  <c r="P14"/>
  <c r="P12"/>
  <c r="R7" i="76" l="1"/>
  <c r="Q8" s="1"/>
  <c r="O22"/>
  <c r="R22"/>
  <c r="S21" i="68"/>
  <c r="P16"/>
  <c r="S14"/>
  <c r="P19"/>
  <c r="P13"/>
  <c r="P20"/>
  <c r="S13"/>
  <c r="P17"/>
  <c r="P21"/>
  <c r="P15"/>
  <c r="S15"/>
  <c r="S17"/>
  <c r="S19"/>
  <c r="P12"/>
  <c r="Q8"/>
  <c r="S20"/>
  <c r="P14"/>
  <c r="S16"/>
  <c r="S18"/>
  <c r="S12"/>
  <c r="S23" i="61"/>
  <c r="S22"/>
  <c r="P22"/>
  <c r="P23"/>
  <c r="P22" i="67"/>
  <c r="P22" i="75"/>
  <c r="S23"/>
  <c r="P23"/>
  <c r="S22"/>
  <c r="P22" i="77"/>
  <c r="S22"/>
  <c r="P23"/>
  <c r="S23"/>
  <c r="P21" i="73"/>
  <c r="P21" i="64"/>
  <c r="Q8" i="72"/>
  <c r="P13" i="73"/>
  <c r="P20"/>
  <c r="S15"/>
  <c r="P12"/>
  <c r="S20"/>
  <c r="S13"/>
  <c r="P17"/>
  <c r="S16"/>
  <c r="P16"/>
  <c r="S18"/>
  <c r="S19"/>
  <c r="P19"/>
  <c r="P18"/>
  <c r="S21"/>
  <c r="P15"/>
  <c r="S12"/>
  <c r="P14"/>
  <c r="S14"/>
  <c r="S17"/>
  <c r="S13" i="64"/>
  <c r="P14"/>
  <c r="P18"/>
  <c r="P16"/>
  <c r="S17"/>
  <c r="P18" i="72"/>
  <c r="S12" i="64"/>
  <c r="S14"/>
  <c r="S15"/>
  <c r="S21"/>
  <c r="P15"/>
  <c r="P17"/>
  <c r="S19"/>
  <c r="S18"/>
  <c r="P12"/>
  <c r="Q8"/>
  <c r="S16"/>
  <c r="P13"/>
  <c r="P19"/>
  <c r="S20"/>
  <c r="P19" i="72"/>
  <c r="S21"/>
  <c r="S19"/>
  <c r="S20"/>
  <c r="P20"/>
  <c r="S12"/>
  <c r="S18" i="60"/>
  <c r="S17"/>
  <c r="P18"/>
  <c r="S13" i="78"/>
  <c r="S12"/>
  <c r="P18"/>
  <c r="P14" i="72"/>
  <c r="S17"/>
  <c r="P17"/>
  <c r="S16"/>
  <c r="P12"/>
  <c r="S13"/>
  <c r="P15"/>
  <c r="S14"/>
  <c r="P16"/>
  <c r="S15"/>
  <c r="P13"/>
  <c r="P21"/>
  <c r="S19" i="60"/>
  <c r="S20"/>
  <c r="P20"/>
  <c r="S12"/>
  <c r="P12"/>
  <c r="P17"/>
  <c r="P21"/>
  <c r="S15"/>
  <c r="P13"/>
  <c r="S16"/>
  <c r="P19"/>
  <c r="P16"/>
  <c r="S13"/>
  <c r="S21"/>
  <c r="S14"/>
  <c r="P15"/>
  <c r="P14"/>
  <c r="P23" i="59"/>
  <c r="S23"/>
  <c r="S21" i="78"/>
  <c r="S20"/>
  <c r="S17"/>
  <c r="S16"/>
  <c r="P15"/>
  <c r="P14"/>
  <c r="S15"/>
  <c r="P13"/>
  <c r="S14"/>
  <c r="P12"/>
  <c r="S19"/>
  <c r="P17"/>
  <c r="S18"/>
  <c r="P16"/>
  <c r="S22" i="59"/>
  <c r="P22"/>
  <c r="P23" i="62"/>
  <c r="R7" i="83"/>
  <c r="Q8" s="1"/>
  <c r="S23" i="67"/>
  <c r="P23"/>
  <c r="S22"/>
  <c r="P22" i="71"/>
  <c r="S23"/>
  <c r="P23"/>
  <c r="S22"/>
  <c r="R7" i="66"/>
  <c r="P17" s="1"/>
  <c r="S23" i="62"/>
  <c r="R7" i="69"/>
  <c r="S19" s="1"/>
  <c r="O22"/>
  <c r="R22"/>
  <c r="S22" i="62"/>
  <c r="P22"/>
  <c r="S22" i="57"/>
  <c r="P22"/>
  <c r="P22" i="65"/>
  <c r="S22"/>
  <c r="R7" i="56"/>
  <c r="Q8" s="1"/>
  <c r="O22"/>
  <c r="R22"/>
  <c r="P22" i="70"/>
  <c r="S22"/>
  <c r="S22" i="58"/>
  <c r="P22"/>
  <c r="O22" i="83"/>
  <c r="R22"/>
  <c r="S22" i="81"/>
  <c r="P22"/>
  <c r="P23" i="79"/>
  <c r="P22"/>
  <c r="S22"/>
  <c r="S23"/>
  <c r="P22" i="74"/>
  <c r="O22" i="66"/>
  <c r="R22"/>
  <c r="P16" i="80"/>
  <c r="S20"/>
  <c r="P15"/>
  <c r="S15"/>
  <c r="S13"/>
  <c r="S16"/>
  <c r="S12"/>
  <c r="P14"/>
  <c r="S18"/>
  <c r="S21"/>
  <c r="P13"/>
  <c r="P18"/>
  <c r="P17"/>
  <c r="S14"/>
  <c r="S17"/>
  <c r="P12"/>
  <c r="S19"/>
  <c r="P23" i="82"/>
  <c r="S23"/>
  <c r="S24"/>
  <c r="P24"/>
  <c r="P23" i="81"/>
  <c r="S23"/>
  <c r="S23" i="74"/>
  <c r="S22"/>
  <c r="P23"/>
  <c r="S23" i="70"/>
  <c r="P23"/>
  <c r="S23" i="65"/>
  <c r="P23"/>
  <c r="S23" i="58"/>
  <c r="P23"/>
  <c r="P23" i="57"/>
  <c r="S23"/>
  <c r="L60" i="55"/>
  <c r="M60" s="1"/>
  <c r="N60"/>
  <c r="E59"/>
  <c r="D59"/>
  <c r="E58"/>
  <c r="D58"/>
  <c r="E56"/>
  <c r="D56"/>
  <c r="E55"/>
  <c r="D55"/>
  <c r="E53"/>
  <c r="D53"/>
  <c r="E52"/>
  <c r="D52"/>
  <c r="E51"/>
  <c r="D51"/>
  <c r="E50"/>
  <c r="D50"/>
  <c r="E49"/>
  <c r="D49"/>
  <c r="E47"/>
  <c r="D47"/>
  <c r="E46"/>
  <c r="D46"/>
  <c r="E45"/>
  <c r="D45"/>
  <c r="E44"/>
  <c r="D44"/>
  <c r="P19" i="76" l="1"/>
  <c r="P17"/>
  <c r="S16"/>
  <c r="P21"/>
  <c r="P15"/>
  <c r="P13"/>
  <c r="P16"/>
  <c r="S12"/>
  <c r="S21"/>
  <c r="P20"/>
  <c r="S20"/>
  <c r="S19"/>
  <c r="P18"/>
  <c r="S18"/>
  <c r="S17"/>
  <c r="S15"/>
  <c r="P12"/>
  <c r="P14"/>
  <c r="S14"/>
  <c r="S13"/>
  <c r="P23" i="68"/>
  <c r="S23"/>
  <c r="P22"/>
  <c r="S22"/>
  <c r="P23" i="73"/>
  <c r="P22"/>
  <c r="S23"/>
  <c r="S22"/>
  <c r="S23" i="64"/>
  <c r="P23"/>
  <c r="P22"/>
  <c r="S22"/>
  <c r="S23" i="72"/>
  <c r="S22" i="60"/>
  <c r="P16" i="66"/>
  <c r="P22" i="78"/>
  <c r="P23"/>
  <c r="P15" i="83"/>
  <c r="P20"/>
  <c r="P22" i="72"/>
  <c r="S22"/>
  <c r="P23"/>
  <c r="P20" i="66"/>
  <c r="S20"/>
  <c r="P14"/>
  <c r="P21"/>
  <c r="P12"/>
  <c r="S12"/>
  <c r="S16"/>
  <c r="P22" i="60"/>
  <c r="P23"/>
  <c r="S23"/>
  <c r="S18" i="69"/>
  <c r="P13"/>
  <c r="S23" i="78"/>
  <c r="S22"/>
  <c r="S20" i="83"/>
  <c r="P17"/>
  <c r="S19"/>
  <c r="S13"/>
  <c r="S17"/>
  <c r="P18"/>
  <c r="P13"/>
  <c r="P19"/>
  <c r="S14"/>
  <c r="S16"/>
  <c r="P16"/>
  <c r="P21"/>
  <c r="S18"/>
  <c r="P12"/>
  <c r="P14"/>
  <c r="S15"/>
  <c r="S12"/>
  <c r="S21"/>
  <c r="P15" i="66"/>
  <c r="P13"/>
  <c r="S13"/>
  <c r="S14"/>
  <c r="Q8"/>
  <c r="S15"/>
  <c r="P19"/>
  <c r="S19"/>
  <c r="S17"/>
  <c r="P18"/>
  <c r="S18"/>
  <c r="S21"/>
  <c r="P19" i="69"/>
  <c r="P14"/>
  <c r="S15"/>
  <c r="S21"/>
  <c r="P21"/>
  <c r="S12"/>
  <c r="P20"/>
  <c r="S14"/>
  <c r="P16"/>
  <c r="S13"/>
  <c r="S16"/>
  <c r="P12"/>
  <c r="P15"/>
  <c r="Q8"/>
  <c r="S17"/>
  <c r="S20"/>
  <c r="P18"/>
  <c r="P17"/>
  <c r="S14" i="56"/>
  <c r="P17"/>
  <c r="P14"/>
  <c r="S15"/>
  <c r="P12"/>
  <c r="S16"/>
  <c r="S17"/>
  <c r="P21"/>
  <c r="P20"/>
  <c r="S20"/>
  <c r="S12"/>
  <c r="P15"/>
  <c r="S21"/>
  <c r="S13"/>
  <c r="P19"/>
  <c r="P18"/>
  <c r="P16"/>
  <c r="S18"/>
  <c r="P13"/>
  <c r="S19"/>
  <c r="P23" i="80"/>
  <c r="S22"/>
  <c r="S23"/>
  <c r="P22"/>
  <c r="E43" i="55"/>
  <c r="D43"/>
  <c r="E42"/>
  <c r="D42"/>
  <c r="E41"/>
  <c r="D41"/>
  <c r="E40"/>
  <c r="D40"/>
  <c r="E39"/>
  <c r="D39"/>
  <c r="E38"/>
  <c r="D38"/>
  <c r="E37"/>
  <c r="D37"/>
  <c r="E36"/>
  <c r="D36"/>
  <c r="E35"/>
  <c r="D35"/>
  <c r="E34"/>
  <c r="D34"/>
  <c r="E33"/>
  <c r="D33"/>
  <c r="E32"/>
  <c r="D32"/>
  <c r="E31"/>
  <c r="D31"/>
  <c r="E30"/>
  <c r="D30"/>
  <c r="E29"/>
  <c r="D29"/>
  <c r="E28"/>
  <c r="D28"/>
  <c r="E27"/>
  <c r="D27"/>
  <c r="I7" i="25"/>
  <c r="C4" s="1"/>
  <c r="E26" i="55"/>
  <c r="D26"/>
  <c r="S22" i="76" l="1"/>
  <c r="S23"/>
  <c r="P22"/>
  <c r="P23"/>
  <c r="F26" i="55"/>
  <c r="L26" s="1"/>
  <c r="S23" i="66"/>
  <c r="P22"/>
  <c r="S23" i="83"/>
  <c r="S22" i="66"/>
  <c r="P23"/>
  <c r="S22" i="69"/>
  <c r="S22" i="83"/>
  <c r="P23"/>
  <c r="P22"/>
  <c r="P22" i="69"/>
  <c r="P23"/>
  <c r="S23"/>
  <c r="P22" i="56"/>
  <c r="P23"/>
  <c r="S22"/>
  <c r="S23"/>
  <c r="R23" i="54"/>
  <c r="O23"/>
  <c r="O7"/>
  <c r="O8" s="1"/>
  <c r="K7"/>
  <c r="G4" s="1"/>
  <c r="J27" i="55" s="1"/>
  <c r="N27" s="1"/>
  <c r="J7" i="54"/>
  <c r="E4" s="1"/>
  <c r="H27" i="55" s="1"/>
  <c r="I7" i="54"/>
  <c r="R23" i="52"/>
  <c r="O23"/>
  <c r="O7"/>
  <c r="O8" s="1"/>
  <c r="R23" i="51"/>
  <c r="O23"/>
  <c r="O7"/>
  <c r="O8" s="1"/>
  <c r="R23" i="50"/>
  <c r="O23"/>
  <c r="O7"/>
  <c r="O8" s="1"/>
  <c r="R23" i="49"/>
  <c r="O23"/>
  <c r="O7"/>
  <c r="R23" i="48"/>
  <c r="O23"/>
  <c r="O7"/>
  <c r="O8" s="1"/>
  <c r="R23" i="47"/>
  <c r="O23"/>
  <c r="O7"/>
  <c r="O8" s="1"/>
  <c r="R23" i="44"/>
  <c r="O23"/>
  <c r="O7"/>
  <c r="O8" s="1"/>
  <c r="R23" i="43"/>
  <c r="O23"/>
  <c r="O7"/>
  <c r="O8" s="1"/>
  <c r="R23" i="45"/>
  <c r="O23"/>
  <c r="O7"/>
  <c r="O8" s="1"/>
  <c r="R23" i="53"/>
  <c r="O23"/>
  <c r="O7"/>
  <c r="O8" s="1"/>
  <c r="K7"/>
  <c r="J7"/>
  <c r="I7"/>
  <c r="C4" s="1"/>
  <c r="R23" i="46"/>
  <c r="O23"/>
  <c r="O7"/>
  <c r="O8" s="1"/>
  <c r="E4" i="53" l="1"/>
  <c r="H28" i="55" s="1"/>
  <c r="G4" i="53"/>
  <c r="K4" s="1"/>
  <c r="C4" i="54"/>
  <c r="F27" i="55" s="1"/>
  <c r="L27" s="1"/>
  <c r="M27" s="1"/>
  <c r="K4" i="54"/>
  <c r="F28" i="55"/>
  <c r="L28" s="1"/>
  <c r="O8" i="49"/>
  <c r="J28" i="55" l="1"/>
  <c r="N28" s="1"/>
  <c r="M28"/>
  <c r="I4" i="54"/>
  <c r="I4" i="53"/>
  <c r="P7" s="1"/>
  <c r="S7" s="1"/>
  <c r="P8" s="1"/>
  <c r="O22" s="1"/>
  <c r="P7" i="54" l="1"/>
  <c r="S7" s="1"/>
  <c r="P8" s="1"/>
  <c r="J4"/>
  <c r="Q7" s="1"/>
  <c r="R22" i="53"/>
  <c r="J4"/>
  <c r="Q7" s="1"/>
  <c r="R7" s="1"/>
  <c r="P14" s="1"/>
  <c r="R23" i="37"/>
  <c r="O23"/>
  <c r="O7"/>
  <c r="R22" i="54" l="1"/>
  <c r="O22"/>
  <c r="R7"/>
  <c r="Q8" s="1"/>
  <c r="S18" i="53"/>
  <c r="S13"/>
  <c r="P19"/>
  <c r="P20"/>
  <c r="S19"/>
  <c r="S15"/>
  <c r="S17"/>
  <c r="S21"/>
  <c r="S12"/>
  <c r="P18"/>
  <c r="P21"/>
  <c r="S20"/>
  <c r="S14"/>
  <c r="P15"/>
  <c r="S16"/>
  <c r="P13"/>
  <c r="P16"/>
  <c r="Q8"/>
  <c r="P12"/>
  <c r="P17"/>
  <c r="O8" i="37"/>
  <c r="P12" i="54" l="1"/>
  <c r="S17"/>
  <c r="P20"/>
  <c r="P13"/>
  <c r="S15"/>
  <c r="P15"/>
  <c r="S16"/>
  <c r="S14"/>
  <c r="S21"/>
  <c r="P14"/>
  <c r="S20"/>
  <c r="S19"/>
  <c r="S12"/>
  <c r="S18"/>
  <c r="P18"/>
  <c r="P19"/>
  <c r="P21"/>
  <c r="P16"/>
  <c r="P17"/>
  <c r="S13"/>
  <c r="P23" i="53"/>
  <c r="P22"/>
  <c r="S22"/>
  <c r="S23"/>
  <c r="K12" i="51"/>
  <c r="J12"/>
  <c r="I12"/>
  <c r="K11"/>
  <c r="J11"/>
  <c r="I11"/>
  <c r="K9"/>
  <c r="K10"/>
  <c r="J8"/>
  <c r="J9"/>
  <c r="J10"/>
  <c r="I8"/>
  <c r="I9"/>
  <c r="I10"/>
  <c r="K7" i="52"/>
  <c r="G4" s="1"/>
  <c r="J7"/>
  <c r="E4" s="1"/>
  <c r="H59" i="55" s="1"/>
  <c r="I7" i="52"/>
  <c r="C4" s="1"/>
  <c r="K8" i="51"/>
  <c r="K7"/>
  <c r="J7"/>
  <c r="I7"/>
  <c r="I7" i="32"/>
  <c r="C4" s="1"/>
  <c r="F39" i="55" s="1"/>
  <c r="L39" s="1"/>
  <c r="G4" i="50"/>
  <c r="J57" i="55" s="1"/>
  <c r="J7" i="50"/>
  <c r="E4" s="1"/>
  <c r="H57" i="55" s="1"/>
  <c r="I7" i="50"/>
  <c r="C4" s="1"/>
  <c r="F57" i="55" s="1"/>
  <c r="L57" s="1"/>
  <c r="E4" i="51" l="1"/>
  <c r="H58" i="55" s="1"/>
  <c r="N110"/>
  <c r="N57"/>
  <c r="I4" i="50"/>
  <c r="P7" s="1"/>
  <c r="S7" s="1"/>
  <c r="P8" s="1"/>
  <c r="M57" i="55"/>
  <c r="I4" i="52"/>
  <c r="P7" s="1"/>
  <c r="S7" s="1"/>
  <c r="P8" s="1"/>
  <c r="F59" i="55"/>
  <c r="L59" s="1"/>
  <c r="M59" s="1"/>
  <c r="K4" i="52"/>
  <c r="J59" i="55"/>
  <c r="N59" s="1"/>
  <c r="K4" i="50"/>
  <c r="S22" i="54"/>
  <c r="P22"/>
  <c r="P23"/>
  <c r="S23"/>
  <c r="G4" i="51"/>
  <c r="C4"/>
  <c r="G4" i="37"/>
  <c r="E4"/>
  <c r="C4"/>
  <c r="I4" i="51" l="1"/>
  <c r="F58" i="55"/>
  <c r="L58" s="1"/>
  <c r="M58" s="1"/>
  <c r="K4" i="51"/>
  <c r="J58" i="55"/>
  <c r="N58" s="1"/>
  <c r="J4" i="52"/>
  <c r="Q7" s="1"/>
  <c r="R7" s="1"/>
  <c r="P17" s="1"/>
  <c r="J4" i="50"/>
  <c r="Q7" s="1"/>
  <c r="R7" s="1"/>
  <c r="S12" s="1"/>
  <c r="O22"/>
  <c r="R22"/>
  <c r="R22" i="52"/>
  <c r="O22"/>
  <c r="H47" i="55"/>
  <c r="K7" i="49"/>
  <c r="G4" s="1"/>
  <c r="J7"/>
  <c r="E4" s="1"/>
  <c r="H56" i="55" s="1"/>
  <c r="I7" i="49"/>
  <c r="C4" s="1"/>
  <c r="J4" i="51" l="1"/>
  <c r="Q7" s="1"/>
  <c r="P7"/>
  <c r="S7" s="1"/>
  <c r="P8" s="1"/>
  <c r="I4" i="49"/>
  <c r="P7" s="1"/>
  <c r="S7" s="1"/>
  <c r="P8" s="1"/>
  <c r="F56" i="55"/>
  <c r="L56" s="1"/>
  <c r="M56" s="1"/>
  <c r="K4" i="49"/>
  <c r="J56" i="55"/>
  <c r="N56" s="1"/>
  <c r="S16" i="52"/>
  <c r="S13"/>
  <c r="S20"/>
  <c r="P21"/>
  <c r="P18"/>
  <c r="P15"/>
  <c r="S19"/>
  <c r="S14"/>
  <c r="P14"/>
  <c r="P12"/>
  <c r="Q8"/>
  <c r="S12"/>
  <c r="P13"/>
  <c r="S17"/>
  <c r="S15"/>
  <c r="P20"/>
  <c r="S21"/>
  <c r="S18"/>
  <c r="P16"/>
  <c r="P19"/>
  <c r="P16" i="50"/>
  <c r="S15"/>
  <c r="P15"/>
  <c r="S14"/>
  <c r="S16"/>
  <c r="S18"/>
  <c r="P19"/>
  <c r="P17"/>
  <c r="S17"/>
  <c r="P18"/>
  <c r="Q8"/>
  <c r="P21"/>
  <c r="S21"/>
  <c r="S19"/>
  <c r="P20"/>
  <c r="S20"/>
  <c r="P13"/>
  <c r="S13"/>
  <c r="P14"/>
  <c r="P12"/>
  <c r="I4" i="37"/>
  <c r="P7" s="1"/>
  <c r="S7" s="1"/>
  <c r="P8" s="1"/>
  <c r="O22" s="1"/>
  <c r="F47" i="55"/>
  <c r="L47" s="1"/>
  <c r="M47" s="1"/>
  <c r="K4" i="37"/>
  <c r="J47" i="55"/>
  <c r="N47" s="1"/>
  <c r="O22" i="51" l="1"/>
  <c r="R22"/>
  <c r="R7"/>
  <c r="J4" i="49"/>
  <c r="Q7" s="1"/>
  <c r="R7" s="1"/>
  <c r="S16" s="1"/>
  <c r="O22"/>
  <c r="R22"/>
  <c r="S22" i="52"/>
  <c r="S23"/>
  <c r="P23"/>
  <c r="P22"/>
  <c r="S23" i="50"/>
  <c r="P23"/>
  <c r="P22"/>
  <c r="S22"/>
  <c r="R22" i="37"/>
  <c r="J4"/>
  <c r="Q7" s="1"/>
  <c r="R7" s="1"/>
  <c r="Q8" s="1"/>
  <c r="K7" i="48"/>
  <c r="G4" s="1"/>
  <c r="J7"/>
  <c r="E4" s="1"/>
  <c r="H55" i="55" s="1"/>
  <c r="I7" i="48"/>
  <c r="C4"/>
  <c r="K7" i="47"/>
  <c r="G4" s="1"/>
  <c r="J54" i="55" s="1"/>
  <c r="N54" s="1"/>
  <c r="J7" i="47"/>
  <c r="E4" s="1"/>
  <c r="I7"/>
  <c r="C4" s="1"/>
  <c r="F54" i="55" s="1"/>
  <c r="L54" s="1"/>
  <c r="P20" i="51" l="1"/>
  <c r="S16"/>
  <c r="S19"/>
  <c r="P18"/>
  <c r="S14"/>
  <c r="S17"/>
  <c r="S18"/>
  <c r="P16"/>
  <c r="S12"/>
  <c r="S15"/>
  <c r="S20"/>
  <c r="P14"/>
  <c r="P21"/>
  <c r="S13"/>
  <c r="P13"/>
  <c r="P12"/>
  <c r="P19"/>
  <c r="P17"/>
  <c r="P15"/>
  <c r="S21"/>
  <c r="Q8"/>
  <c r="I4" i="48"/>
  <c r="F55" i="55"/>
  <c r="L55" s="1"/>
  <c r="M55" s="1"/>
  <c r="K4" i="48"/>
  <c r="J55" i="55"/>
  <c r="N55" s="1"/>
  <c r="H54"/>
  <c r="M54" s="1"/>
  <c r="H111"/>
  <c r="M111" s="1"/>
  <c r="P18" i="49"/>
  <c r="S13"/>
  <c r="S14"/>
  <c r="S12"/>
  <c r="P15"/>
  <c r="P17"/>
  <c r="P16"/>
  <c r="S21"/>
  <c r="S18"/>
  <c r="S19"/>
  <c r="Q8"/>
  <c r="P21"/>
  <c r="S20"/>
  <c r="S15"/>
  <c r="P19"/>
  <c r="P20"/>
  <c r="P13"/>
  <c r="P12"/>
  <c r="P14"/>
  <c r="S17"/>
  <c r="I4" i="47"/>
  <c r="P7" s="1"/>
  <c r="S7" s="1"/>
  <c r="P8" s="1"/>
  <c r="K4"/>
  <c r="P13" i="37"/>
  <c r="P15"/>
  <c r="S15"/>
  <c r="P12"/>
  <c r="P21"/>
  <c r="S20"/>
  <c r="S14"/>
  <c r="P18"/>
  <c r="P17"/>
  <c r="S13"/>
  <c r="S16"/>
  <c r="P14"/>
  <c r="S19"/>
  <c r="P19"/>
  <c r="P20"/>
  <c r="S17"/>
  <c r="S18"/>
  <c r="S12"/>
  <c r="P16"/>
  <c r="S21"/>
  <c r="P23" i="51" l="1"/>
  <c r="J4" i="48"/>
  <c r="Q7" s="1"/>
  <c r="P7"/>
  <c r="S7" s="1"/>
  <c r="P8" s="1"/>
  <c r="S22" i="51"/>
  <c r="P22"/>
  <c r="S23"/>
  <c r="S22" i="49"/>
  <c r="P23"/>
  <c r="P22"/>
  <c r="S23"/>
  <c r="J4" i="47"/>
  <c r="Q7" s="1"/>
  <c r="R7" s="1"/>
  <c r="Q8" s="1"/>
  <c r="R22"/>
  <c r="O22"/>
  <c r="S22" i="37"/>
  <c r="S23"/>
  <c r="P23"/>
  <c r="P22"/>
  <c r="K7" i="45"/>
  <c r="G4" s="1"/>
  <c r="J7"/>
  <c r="I7"/>
  <c r="C4" s="1"/>
  <c r="K7" i="44"/>
  <c r="G4" s="1"/>
  <c r="J7"/>
  <c r="E4" s="1"/>
  <c r="H44" i="55" s="1"/>
  <c r="I7" i="44"/>
  <c r="C4" s="1"/>
  <c r="K7" i="43"/>
  <c r="J7"/>
  <c r="I7"/>
  <c r="R22" i="48" l="1"/>
  <c r="O22"/>
  <c r="R7"/>
  <c r="P19" i="47"/>
  <c r="S16"/>
  <c r="S17"/>
  <c r="P17"/>
  <c r="S19"/>
  <c r="P16"/>
  <c r="S21"/>
  <c r="S18"/>
  <c r="P18"/>
  <c r="P21"/>
  <c r="S13"/>
  <c r="P14"/>
  <c r="P20"/>
  <c r="S12"/>
  <c r="P13"/>
  <c r="S14"/>
  <c r="P12"/>
  <c r="S20"/>
  <c r="P15"/>
  <c r="S15"/>
  <c r="E4" i="45"/>
  <c r="H32" i="55" s="1"/>
  <c r="K4" i="44"/>
  <c r="J44" i="55"/>
  <c r="N44" s="1"/>
  <c r="I4" i="44"/>
  <c r="P7" s="1"/>
  <c r="S7" s="1"/>
  <c r="P8" s="1"/>
  <c r="O22" s="1"/>
  <c r="F44" i="55"/>
  <c r="L44" s="1"/>
  <c r="M44" s="1"/>
  <c r="K4" i="45"/>
  <c r="J32" i="55"/>
  <c r="N32" s="1"/>
  <c r="I4" i="45"/>
  <c r="P7" s="1"/>
  <c r="S7" s="1"/>
  <c r="P8" s="1"/>
  <c r="O22" s="1"/>
  <c r="F32" i="55"/>
  <c r="L32" s="1"/>
  <c r="E4" i="43"/>
  <c r="H34" i="55" s="1"/>
  <c r="C4" i="43"/>
  <c r="H30" i="55"/>
  <c r="G4" i="43"/>
  <c r="K8" i="36"/>
  <c r="J8"/>
  <c r="I8"/>
  <c r="K10" i="33"/>
  <c r="J10"/>
  <c r="I10"/>
  <c r="R23" i="42"/>
  <c r="O23"/>
  <c r="O7"/>
  <c r="O8" s="1"/>
  <c r="J7"/>
  <c r="E4" s="1"/>
  <c r="I7"/>
  <c r="C4" s="1"/>
  <c r="I4" s="1"/>
  <c r="R23" i="41"/>
  <c r="O23"/>
  <c r="O7"/>
  <c r="O8" s="1"/>
  <c r="K7"/>
  <c r="G4" s="1"/>
  <c r="J7"/>
  <c r="E4" s="1"/>
  <c r="I7"/>
  <c r="C4" s="1"/>
  <c r="R23" i="40"/>
  <c r="O23"/>
  <c r="O7"/>
  <c r="O8" s="1"/>
  <c r="K7"/>
  <c r="J7"/>
  <c r="I7"/>
  <c r="R23" i="39"/>
  <c r="O23"/>
  <c r="O7"/>
  <c r="O8" s="1"/>
  <c r="K7"/>
  <c r="G4" s="1"/>
  <c r="J49" i="55" s="1"/>
  <c r="N49" s="1"/>
  <c r="J7" i="39"/>
  <c r="E4" s="1"/>
  <c r="H49" i="55" s="1"/>
  <c r="I7" i="39"/>
  <c r="C4" s="1"/>
  <c r="F49" i="55" s="1"/>
  <c r="L49" s="1"/>
  <c r="R23" i="38"/>
  <c r="O23"/>
  <c r="O7"/>
  <c r="O8" s="1"/>
  <c r="K7"/>
  <c r="J7"/>
  <c r="I7"/>
  <c r="R23" i="36"/>
  <c r="O23"/>
  <c r="O7"/>
  <c r="O8" s="1"/>
  <c r="K7"/>
  <c r="J7"/>
  <c r="I7"/>
  <c r="R23" i="35"/>
  <c r="O23"/>
  <c r="O7"/>
  <c r="O8" s="1"/>
  <c r="J43" i="55"/>
  <c r="N43" s="1"/>
  <c r="H43"/>
  <c r="F43"/>
  <c r="L43" s="1"/>
  <c r="R23" i="34"/>
  <c r="O23"/>
  <c r="O7"/>
  <c r="O8" s="1"/>
  <c r="K7"/>
  <c r="J7"/>
  <c r="I7"/>
  <c r="R23" i="33"/>
  <c r="O23"/>
  <c r="K9"/>
  <c r="J9"/>
  <c r="I9"/>
  <c r="K8"/>
  <c r="J8"/>
  <c r="I8"/>
  <c r="O7"/>
  <c r="O8" s="1"/>
  <c r="K7"/>
  <c r="J7"/>
  <c r="I7"/>
  <c r="R23" i="32"/>
  <c r="O23"/>
  <c r="K7"/>
  <c r="G4" s="1"/>
  <c r="J39" i="55" s="1"/>
  <c r="N39" s="1"/>
  <c r="J7" i="32"/>
  <c r="E4" s="1"/>
  <c r="H39" i="55" s="1"/>
  <c r="M39" s="1"/>
  <c r="O7" i="32"/>
  <c r="O8" s="1"/>
  <c r="R23" i="23"/>
  <c r="O23"/>
  <c r="O7"/>
  <c r="O8" s="1"/>
  <c r="R23" i="11"/>
  <c r="O23"/>
  <c r="O7"/>
  <c r="R23" i="31"/>
  <c r="O23"/>
  <c r="O7"/>
  <c r="O8" s="1"/>
  <c r="J7"/>
  <c r="I7"/>
  <c r="R23" i="9"/>
  <c r="O23"/>
  <c r="O7"/>
  <c r="O8" s="1"/>
  <c r="R22" i="30"/>
  <c r="O22"/>
  <c r="O7"/>
  <c r="O8" s="1"/>
  <c r="G4"/>
  <c r="J37" i="55" s="1"/>
  <c r="N37" s="1"/>
  <c r="J7" i="30"/>
  <c r="E4" s="1"/>
  <c r="H37" i="55" s="1"/>
  <c r="I7" i="30"/>
  <c r="C4" s="1"/>
  <c r="F37" i="55" s="1"/>
  <c r="L37" s="1"/>
  <c r="R23" i="29"/>
  <c r="O23"/>
  <c r="O7"/>
  <c r="O8" s="1"/>
  <c r="K7"/>
  <c r="G4" s="1"/>
  <c r="J36" i="55" s="1"/>
  <c r="N36" s="1"/>
  <c r="J7" i="29"/>
  <c r="E4" s="1"/>
  <c r="H36" i="55" s="1"/>
  <c r="I7" i="29"/>
  <c r="C4" s="1"/>
  <c r="F36" i="55" s="1"/>
  <c r="L36" s="1"/>
  <c r="R23" i="28"/>
  <c r="O23"/>
  <c r="O7"/>
  <c r="O8" s="1"/>
  <c r="K7"/>
  <c r="J7"/>
  <c r="I7"/>
  <c r="R23" i="5"/>
  <c r="O23"/>
  <c r="O7"/>
  <c r="O8" s="1"/>
  <c r="R23" i="4"/>
  <c r="O23"/>
  <c r="O7"/>
  <c r="O8" s="1"/>
  <c r="R23" i="26"/>
  <c r="O23"/>
  <c r="O7"/>
  <c r="O8" s="1"/>
  <c r="K7"/>
  <c r="J7"/>
  <c r="I7"/>
  <c r="R23" i="25"/>
  <c r="O23"/>
  <c r="K7"/>
  <c r="G4" s="1"/>
  <c r="J7"/>
  <c r="E4" s="1"/>
  <c r="O7"/>
  <c r="O8" s="1"/>
  <c r="K7" i="23"/>
  <c r="J7"/>
  <c r="E4" s="1"/>
  <c r="H53" i="55" s="1"/>
  <c r="I7" i="23"/>
  <c r="K12" i="11"/>
  <c r="J12"/>
  <c r="I12"/>
  <c r="K11"/>
  <c r="J11"/>
  <c r="I11"/>
  <c r="K10"/>
  <c r="J10"/>
  <c r="I10"/>
  <c r="K9"/>
  <c r="J9"/>
  <c r="I9"/>
  <c r="K8"/>
  <c r="J8"/>
  <c r="I8"/>
  <c r="K7"/>
  <c r="J7"/>
  <c r="I7"/>
  <c r="K10" i="9"/>
  <c r="J10"/>
  <c r="I10"/>
  <c r="K9"/>
  <c r="J9"/>
  <c r="I9"/>
  <c r="K8"/>
  <c r="J8"/>
  <c r="I8"/>
  <c r="K7"/>
  <c r="J7"/>
  <c r="I7"/>
  <c r="K7" i="5"/>
  <c r="J7"/>
  <c r="I7"/>
  <c r="C4" i="4"/>
  <c r="G4"/>
  <c r="E4" i="11" l="1"/>
  <c r="H40" i="55" s="1"/>
  <c r="E4" i="9"/>
  <c r="H38" i="55" s="1"/>
  <c r="C4" i="11"/>
  <c r="P17" i="48"/>
  <c r="P20"/>
  <c r="S14"/>
  <c r="P15"/>
  <c r="P18"/>
  <c r="S12"/>
  <c r="P21"/>
  <c r="S13"/>
  <c r="P13"/>
  <c r="P16"/>
  <c r="S21"/>
  <c r="P14"/>
  <c r="S19"/>
  <c r="S17"/>
  <c r="S20"/>
  <c r="S15"/>
  <c r="P19"/>
  <c r="P12"/>
  <c r="S18"/>
  <c r="S16"/>
  <c r="E4" i="33"/>
  <c r="H41" i="55" s="1"/>
  <c r="Q8" i="48"/>
  <c r="G4" i="11"/>
  <c r="G4" i="9"/>
  <c r="P22" i="47"/>
  <c r="S22"/>
  <c r="P23"/>
  <c r="S23"/>
  <c r="E4" i="26"/>
  <c r="H29" i="55" s="1"/>
  <c r="G4" i="26"/>
  <c r="K4" s="1"/>
  <c r="C4"/>
  <c r="I4" s="1"/>
  <c r="P7" s="1"/>
  <c r="S7" s="1"/>
  <c r="P8" s="1"/>
  <c r="I4" i="4"/>
  <c r="P7" s="1"/>
  <c r="S7" s="1"/>
  <c r="P8" s="1"/>
  <c r="F31" i="55"/>
  <c r="L31" s="1"/>
  <c r="K4" i="4"/>
  <c r="J31" i="55"/>
  <c r="N31" s="1"/>
  <c r="E4" i="4"/>
  <c r="H31" i="55" s="1"/>
  <c r="J4" i="42"/>
  <c r="E4" i="38"/>
  <c r="H48" i="55" s="1"/>
  <c r="C4" i="38"/>
  <c r="G4"/>
  <c r="J48" i="55" s="1"/>
  <c r="N48" s="1"/>
  <c r="M32"/>
  <c r="E4" i="31"/>
  <c r="H45" i="55" s="1"/>
  <c r="G4" i="31"/>
  <c r="K4" s="1"/>
  <c r="C4"/>
  <c r="I4" s="1"/>
  <c r="H52" i="55"/>
  <c r="F52"/>
  <c r="L52" s="1"/>
  <c r="K4" i="25"/>
  <c r="H26" i="55"/>
  <c r="M26" s="1"/>
  <c r="M49"/>
  <c r="K4" i="41"/>
  <c r="J51" i="55"/>
  <c r="N51" s="1"/>
  <c r="M36"/>
  <c r="M43"/>
  <c r="M37"/>
  <c r="K4" i="46"/>
  <c r="J30" i="55"/>
  <c r="N30" s="1"/>
  <c r="I4" i="46"/>
  <c r="P7" s="1"/>
  <c r="S7" s="1"/>
  <c r="P8" s="1"/>
  <c r="O22" s="1"/>
  <c r="F30" i="55"/>
  <c r="L30" s="1"/>
  <c r="M30" s="1"/>
  <c r="R22" i="45"/>
  <c r="J4" i="44"/>
  <c r="Q7" s="1"/>
  <c r="R7" s="1"/>
  <c r="Q8" s="1"/>
  <c r="R22"/>
  <c r="K4" i="43"/>
  <c r="J34" i="55"/>
  <c r="N34" s="1"/>
  <c r="I4" i="43"/>
  <c r="P7" s="1"/>
  <c r="S7" s="1"/>
  <c r="P8" s="1"/>
  <c r="R22" s="1"/>
  <c r="F34" i="55"/>
  <c r="L34" s="1"/>
  <c r="M34" s="1"/>
  <c r="J4" i="45"/>
  <c r="Q7" s="1"/>
  <c r="R7" s="1"/>
  <c r="Q8" s="1"/>
  <c r="C4" i="9"/>
  <c r="G4" i="28"/>
  <c r="G4" i="34"/>
  <c r="E4" i="40"/>
  <c r="H50" i="55" s="1"/>
  <c r="C4" i="23"/>
  <c r="G4"/>
  <c r="J53" i="55" s="1"/>
  <c r="N53" s="1"/>
  <c r="H51"/>
  <c r="I4" i="39"/>
  <c r="P7" s="1"/>
  <c r="S7" s="1"/>
  <c r="P8" s="1"/>
  <c r="C4" i="36"/>
  <c r="C4" i="34"/>
  <c r="G4" i="33"/>
  <c r="K4" i="32"/>
  <c r="E4" i="5"/>
  <c r="H33" i="55" s="1"/>
  <c r="G4" i="40"/>
  <c r="C4"/>
  <c r="K4" i="39"/>
  <c r="G4" i="36"/>
  <c r="E4"/>
  <c r="H46" i="55" s="1"/>
  <c r="K4" i="35"/>
  <c r="I4"/>
  <c r="P7" s="1"/>
  <c r="S7" s="1"/>
  <c r="P8" s="1"/>
  <c r="E4" i="34"/>
  <c r="H42" i="55" s="1"/>
  <c r="C4" i="33"/>
  <c r="I4" i="32"/>
  <c r="P7" s="1"/>
  <c r="S7" s="1"/>
  <c r="P8" s="1"/>
  <c r="O8" i="11"/>
  <c r="I4" i="30"/>
  <c r="P7" s="1"/>
  <c r="S7" s="1"/>
  <c r="P8" s="1"/>
  <c r="K4"/>
  <c r="K4" i="29"/>
  <c r="I4"/>
  <c r="P7" s="1"/>
  <c r="S7" s="1"/>
  <c r="P8" s="1"/>
  <c r="C4" i="28"/>
  <c r="E4"/>
  <c r="H35" i="55" s="1"/>
  <c r="C4" i="5"/>
  <c r="G4"/>
  <c r="K4" i="11" l="1"/>
  <c r="J40" i="55"/>
  <c r="N40" s="1"/>
  <c r="P22" i="48"/>
  <c r="S22"/>
  <c r="S23"/>
  <c r="I4" i="36"/>
  <c r="P7" s="1"/>
  <c r="S7" s="1"/>
  <c r="P8" s="1"/>
  <c r="R22" s="1"/>
  <c r="F46" i="55"/>
  <c r="L46" s="1"/>
  <c r="M46" s="1"/>
  <c r="I4" i="9"/>
  <c r="P7" s="1"/>
  <c r="S7" s="1"/>
  <c r="P8" s="1"/>
  <c r="O22" s="1"/>
  <c r="F38" i="55"/>
  <c r="L38" s="1"/>
  <c r="M38" s="1"/>
  <c r="K4" i="33"/>
  <c r="J41" i="55"/>
  <c r="N41" s="1"/>
  <c r="K4" i="36"/>
  <c r="J46" i="55"/>
  <c r="N46" s="1"/>
  <c r="P23" i="48"/>
  <c r="I4" i="33"/>
  <c r="P7" s="1"/>
  <c r="S7" s="1"/>
  <c r="P8" s="1"/>
  <c r="R22" s="1"/>
  <c r="F41" i="55"/>
  <c r="L41" s="1"/>
  <c r="M41" s="1"/>
  <c r="K4" i="9"/>
  <c r="J38" i="55"/>
  <c r="N38" s="1"/>
  <c r="I4" i="11"/>
  <c r="F40" i="55"/>
  <c r="L40" s="1"/>
  <c r="M40" s="1"/>
  <c r="I4" i="38"/>
  <c r="P7" s="1"/>
  <c r="S7" s="1"/>
  <c r="P8" s="1"/>
  <c r="O22" s="1"/>
  <c r="F48" i="55"/>
  <c r="L48" s="1"/>
  <c r="M48" s="1"/>
  <c r="J29"/>
  <c r="N29" s="1"/>
  <c r="F29"/>
  <c r="L29" s="1"/>
  <c r="M29" s="1"/>
  <c r="I4" i="5"/>
  <c r="P7" s="1"/>
  <c r="S7" s="1"/>
  <c r="P8" s="1"/>
  <c r="O22" s="1"/>
  <c r="F33" i="55"/>
  <c r="L33" s="1"/>
  <c r="M33" s="1"/>
  <c r="K4" i="5"/>
  <c r="J33" i="55"/>
  <c r="N33" s="1"/>
  <c r="J4" i="4"/>
  <c r="Q7" s="1"/>
  <c r="R7" s="1"/>
  <c r="P13" s="1"/>
  <c r="M31" i="55"/>
  <c r="J52"/>
  <c r="N52" s="1"/>
  <c r="K4" i="38"/>
  <c r="J45" i="55"/>
  <c r="N45" s="1"/>
  <c r="F45"/>
  <c r="L45" s="1"/>
  <c r="M45" s="1"/>
  <c r="M52"/>
  <c r="P7" i="42"/>
  <c r="S7" s="1"/>
  <c r="P8" s="1"/>
  <c r="R22" s="1"/>
  <c r="J26" i="55"/>
  <c r="N26" s="1"/>
  <c r="O22" i="43"/>
  <c r="I4" i="23"/>
  <c r="P7" s="1"/>
  <c r="S7" s="1"/>
  <c r="P8" s="1"/>
  <c r="R22" s="1"/>
  <c r="F53" i="55"/>
  <c r="L53" s="1"/>
  <c r="M53" s="1"/>
  <c r="J4" i="43"/>
  <c r="Q7" s="1"/>
  <c r="R7" s="1"/>
  <c r="P17" s="1"/>
  <c r="R22" i="46"/>
  <c r="J4"/>
  <c r="Q7" s="1"/>
  <c r="R7" s="1"/>
  <c r="Q8" s="1"/>
  <c r="S18" i="44"/>
  <c r="S20"/>
  <c r="P18"/>
  <c r="P15"/>
  <c r="P13"/>
  <c r="S15"/>
  <c r="S12"/>
  <c r="S17"/>
  <c r="S19"/>
  <c r="P20"/>
  <c r="S21"/>
  <c r="S14"/>
  <c r="P14"/>
  <c r="P12"/>
  <c r="P17"/>
  <c r="S13"/>
  <c r="P16"/>
  <c r="P21"/>
  <c r="P19"/>
  <c r="S16"/>
  <c r="K4" i="34"/>
  <c r="J42" i="55"/>
  <c r="N42" s="1"/>
  <c r="I4" i="34"/>
  <c r="P7" s="1"/>
  <c r="S7" s="1"/>
  <c r="P8" s="1"/>
  <c r="O22" s="1"/>
  <c r="F42" i="55"/>
  <c r="L42" s="1"/>
  <c r="M42" s="1"/>
  <c r="K4" i="40"/>
  <c r="J50" i="55"/>
  <c r="N50" s="1"/>
  <c r="I4" i="40"/>
  <c r="P7" s="1"/>
  <c r="S7" s="1"/>
  <c r="P8" s="1"/>
  <c r="O22" s="1"/>
  <c r="F50" i="55"/>
  <c r="L50" s="1"/>
  <c r="M50" s="1"/>
  <c r="K4" i="28"/>
  <c r="J35" i="55"/>
  <c r="N35" s="1"/>
  <c r="I4" i="28"/>
  <c r="P7" s="1"/>
  <c r="S7" s="1"/>
  <c r="P8" s="1"/>
  <c r="O22" s="1"/>
  <c r="F35" i="55"/>
  <c r="L35" s="1"/>
  <c r="M35" s="1"/>
  <c r="S15" i="45"/>
  <c r="P13"/>
  <c r="P19"/>
  <c r="S14"/>
  <c r="S12"/>
  <c r="S21"/>
  <c r="S19"/>
  <c r="S16"/>
  <c r="S20"/>
  <c r="P16"/>
  <c r="S13"/>
  <c r="P12"/>
  <c r="S17"/>
  <c r="P15"/>
  <c r="S18"/>
  <c r="P14"/>
  <c r="P17"/>
  <c r="P18"/>
  <c r="P20"/>
  <c r="P21"/>
  <c r="I4" i="41"/>
  <c r="P7" s="1"/>
  <c r="S7" s="1"/>
  <c r="P8" s="1"/>
  <c r="R22" s="1"/>
  <c r="F51" i="55"/>
  <c r="L51" s="1"/>
  <c r="M51" s="1"/>
  <c r="P7" i="31"/>
  <c r="S7" s="1"/>
  <c r="P8" s="1"/>
  <c r="O22" s="1"/>
  <c r="J4"/>
  <c r="Q7" s="1"/>
  <c r="I4" i="25"/>
  <c r="J4" s="1"/>
  <c r="Q7" s="1"/>
  <c r="J4" i="39"/>
  <c r="Q7" s="1"/>
  <c r="R7" s="1"/>
  <c r="P16" s="1"/>
  <c r="J4" i="26"/>
  <c r="Q7" s="1"/>
  <c r="R7" s="1"/>
  <c r="Q8" s="1"/>
  <c r="J4" i="32"/>
  <c r="Q7" s="1"/>
  <c r="R7" s="1"/>
  <c r="Q8" s="1"/>
  <c r="J4" i="30"/>
  <c r="Q7" s="1"/>
  <c r="R7" s="1"/>
  <c r="S17" s="1"/>
  <c r="O22" i="39"/>
  <c r="R22"/>
  <c r="J4" i="35"/>
  <c r="Q7" s="1"/>
  <c r="R7" s="1"/>
  <c r="Q8" s="1"/>
  <c r="R22"/>
  <c r="O22"/>
  <c r="R22" i="32"/>
  <c r="O22"/>
  <c r="R21" i="30"/>
  <c r="O21"/>
  <c r="J4" i="29"/>
  <c r="Q7" s="1"/>
  <c r="R7" s="1"/>
  <c r="O22"/>
  <c r="R22"/>
  <c r="O22" i="4"/>
  <c r="R22"/>
  <c r="O22" i="26"/>
  <c r="R22"/>
  <c r="O22" i="33" l="1"/>
  <c r="R22" i="9"/>
  <c r="P7" i="11"/>
  <c r="S7" s="1"/>
  <c r="P8" s="1"/>
  <c r="J4"/>
  <c r="Q7" s="1"/>
  <c r="O22" i="36"/>
  <c r="J4"/>
  <c r="Q7" s="1"/>
  <c r="R7" s="1"/>
  <c r="Q8" s="1"/>
  <c r="J4" i="9"/>
  <c r="Q7" s="1"/>
  <c r="R7" s="1"/>
  <c r="P13" s="1"/>
  <c r="J4" i="33"/>
  <c r="Q7" s="1"/>
  <c r="R7" s="1"/>
  <c r="P17" s="1"/>
  <c r="R22" i="38"/>
  <c r="J4"/>
  <c r="Q7" s="1"/>
  <c r="R7" s="1"/>
  <c r="P13" s="1"/>
  <c r="R22" i="5"/>
  <c r="J4"/>
  <c r="Q7" s="1"/>
  <c r="R7" s="1"/>
  <c r="P20" s="1"/>
  <c r="S18" i="4"/>
  <c r="P18"/>
  <c r="P19"/>
  <c r="P21"/>
  <c r="S16"/>
  <c r="S21"/>
  <c r="S13"/>
  <c r="S20"/>
  <c r="P12"/>
  <c r="Q8"/>
  <c r="S17"/>
  <c r="P14"/>
  <c r="P17"/>
  <c r="P15"/>
  <c r="P16"/>
  <c r="S19"/>
  <c r="S15"/>
  <c r="S14"/>
  <c r="S12"/>
  <c r="P20"/>
  <c r="O22" i="42"/>
  <c r="Q7"/>
  <c r="R7" s="1"/>
  <c r="P14" s="1"/>
  <c r="J4" i="23"/>
  <c r="Q7" s="1"/>
  <c r="R7" s="1"/>
  <c r="S17" s="1"/>
  <c r="P13" i="43"/>
  <c r="S20"/>
  <c r="P20"/>
  <c r="Q8"/>
  <c r="S19"/>
  <c r="S13"/>
  <c r="P22" i="44"/>
  <c r="S15" i="43"/>
  <c r="P14"/>
  <c r="P21"/>
  <c r="S21"/>
  <c r="P12"/>
  <c r="S16"/>
  <c r="P15"/>
  <c r="P18"/>
  <c r="P16"/>
  <c r="S14"/>
  <c r="S17"/>
  <c r="S12"/>
  <c r="S18"/>
  <c r="P19"/>
  <c r="J4" i="28"/>
  <c r="Q7" s="1"/>
  <c r="R7" s="1"/>
  <c r="Q8" s="1"/>
  <c r="S12" i="46"/>
  <c r="R22" i="34"/>
  <c r="J4"/>
  <c r="Q7" s="1"/>
  <c r="R7" s="1"/>
  <c r="P20" s="1"/>
  <c r="R22" i="28"/>
  <c r="P12" i="46"/>
  <c r="S15"/>
  <c r="P20"/>
  <c r="P18"/>
  <c r="P21"/>
  <c r="S13"/>
  <c r="S17"/>
  <c r="P15"/>
  <c r="S20"/>
  <c r="S16"/>
  <c r="P13"/>
  <c r="P14"/>
  <c r="P16"/>
  <c r="P19"/>
  <c r="P17"/>
  <c r="S18"/>
  <c r="S14"/>
  <c r="S21"/>
  <c r="S19"/>
  <c r="R22" i="40"/>
  <c r="P22" i="45"/>
  <c r="P23" i="44"/>
  <c r="S22"/>
  <c r="S23"/>
  <c r="J4" i="40"/>
  <c r="Q7" s="1"/>
  <c r="R7" s="1"/>
  <c r="Q8" s="1"/>
  <c r="S22" i="45"/>
  <c r="S23"/>
  <c r="P23"/>
  <c r="J4" i="41"/>
  <c r="Q7" s="1"/>
  <c r="R7" s="1"/>
  <c r="Q8" s="1"/>
  <c r="O22"/>
  <c r="R7" i="31"/>
  <c r="P19" s="1"/>
  <c r="R22"/>
  <c r="P7" i="25"/>
  <c r="S7" s="1"/>
  <c r="P8" s="1"/>
  <c r="O22" s="1"/>
  <c r="O22" i="23"/>
  <c r="S17" i="39"/>
  <c r="P15" i="30"/>
  <c r="S15"/>
  <c r="S13" i="39"/>
  <c r="P15"/>
  <c r="S14"/>
  <c r="P14"/>
  <c r="S21"/>
  <c r="S12"/>
  <c r="P12"/>
  <c r="Q8"/>
  <c r="P17"/>
  <c r="S16"/>
  <c r="P18"/>
  <c r="S19"/>
  <c r="P19"/>
  <c r="S20"/>
  <c r="P20"/>
  <c r="S15"/>
  <c r="P13"/>
  <c r="P21"/>
  <c r="S18"/>
  <c r="S17" i="36"/>
  <c r="S20" i="35"/>
  <c r="P18"/>
  <c r="S17"/>
  <c r="P14"/>
  <c r="S13"/>
  <c r="P20"/>
  <c r="S12"/>
  <c r="P21"/>
  <c r="P19"/>
  <c r="S18"/>
  <c r="P15"/>
  <c r="S14"/>
  <c r="P17"/>
  <c r="P13"/>
  <c r="S21"/>
  <c r="S19"/>
  <c r="P16"/>
  <c r="S15"/>
  <c r="P12"/>
  <c r="S16"/>
  <c r="S20" i="32"/>
  <c r="S18"/>
  <c r="S16"/>
  <c r="S14"/>
  <c r="P12"/>
  <c r="P21"/>
  <c r="P19"/>
  <c r="P17"/>
  <c r="P15"/>
  <c r="P13"/>
  <c r="S12"/>
  <c r="P20"/>
  <c r="P18"/>
  <c r="P16"/>
  <c r="P14"/>
  <c r="S21"/>
  <c r="S19"/>
  <c r="S17"/>
  <c r="S15"/>
  <c r="S13"/>
  <c r="S11" i="30"/>
  <c r="Q8"/>
  <c r="S14"/>
  <c r="P18"/>
  <c r="P19"/>
  <c r="S18"/>
  <c r="P14"/>
  <c r="P11"/>
  <c r="S19"/>
  <c r="P13"/>
  <c r="S12"/>
  <c r="S20"/>
  <c r="P16"/>
  <c r="S13"/>
  <c r="P17"/>
  <c r="S16"/>
  <c r="P12"/>
  <c r="P20"/>
  <c r="P14" i="29"/>
  <c r="P20"/>
  <c r="S18"/>
  <c r="P19"/>
  <c r="S17"/>
  <c r="Q8"/>
  <c r="S12"/>
  <c r="S20"/>
  <c r="P21"/>
  <c r="S21"/>
  <c r="P16"/>
  <c r="P12"/>
  <c r="S13"/>
  <c r="P18"/>
  <c r="S16"/>
  <c r="P15"/>
  <c r="S15"/>
  <c r="P13"/>
  <c r="S19"/>
  <c r="P17"/>
  <c r="S14"/>
  <c r="P21" i="26"/>
  <c r="S20"/>
  <c r="P17"/>
  <c r="S16"/>
  <c r="P13"/>
  <c r="S12"/>
  <c r="S18"/>
  <c r="P15"/>
  <c r="S14"/>
  <c r="P20"/>
  <c r="P16"/>
  <c r="S21"/>
  <c r="P18"/>
  <c r="S17"/>
  <c r="P14"/>
  <c r="S13"/>
  <c r="P19"/>
  <c r="S19"/>
  <c r="S15"/>
  <c r="P12"/>
  <c r="P12" i="36" l="1"/>
  <c r="S15"/>
  <c r="R7" i="11"/>
  <c r="S17" s="1"/>
  <c r="S16" i="9"/>
  <c r="S17" i="33"/>
  <c r="S19" i="36"/>
  <c r="P16" i="9"/>
  <c r="P18"/>
  <c r="P21" i="36"/>
  <c r="S12"/>
  <c r="S14"/>
  <c r="S13" i="9"/>
  <c r="P14"/>
  <c r="P12"/>
  <c r="P14" i="33"/>
  <c r="P20"/>
  <c r="S16"/>
  <c r="S15" i="9"/>
  <c r="Q8" i="33"/>
  <c r="S21"/>
  <c r="P14" i="36"/>
  <c r="S21"/>
  <c r="S16"/>
  <c r="S15" i="33"/>
  <c r="S20" i="9"/>
  <c r="P21"/>
  <c r="S18" i="33"/>
  <c r="P16"/>
  <c r="S13"/>
  <c r="P16" i="36"/>
  <c r="P13"/>
  <c r="S18"/>
  <c r="S12" i="33"/>
  <c r="P15" i="9"/>
  <c r="P19"/>
  <c r="P20"/>
  <c r="P20" i="11"/>
  <c r="P21"/>
  <c r="S12"/>
  <c r="S20"/>
  <c r="S21"/>
  <c r="P17"/>
  <c r="P13"/>
  <c r="P15"/>
  <c r="P16"/>
  <c r="S16"/>
  <c r="P12"/>
  <c r="P19"/>
  <c r="P14"/>
  <c r="S14"/>
  <c r="P18"/>
  <c r="S18"/>
  <c r="S19"/>
  <c r="S15"/>
  <c r="P13" i="33"/>
  <c r="P19"/>
  <c r="P12"/>
  <c r="P18" i="36"/>
  <c r="P15"/>
  <c r="S20"/>
  <c r="S14" i="33"/>
  <c r="S21" i="9"/>
  <c r="S12"/>
  <c r="O22" i="11"/>
  <c r="Q8"/>
  <c r="R22"/>
  <c r="P18" i="33"/>
  <c r="S19"/>
  <c r="P20" i="36"/>
  <c r="P17"/>
  <c r="S17" i="9"/>
  <c r="P17"/>
  <c r="P21" i="33"/>
  <c r="S14" i="9"/>
  <c r="P15" i="33"/>
  <c r="S20"/>
  <c r="S13" i="36"/>
  <c r="P19"/>
  <c r="S19" i="9"/>
  <c r="S18"/>
  <c r="Q8"/>
  <c r="P15" i="38"/>
  <c r="P18"/>
  <c r="S20"/>
  <c r="P12"/>
  <c r="S21"/>
  <c r="Q8"/>
  <c r="S18"/>
  <c r="S15"/>
  <c r="P14"/>
  <c r="S12"/>
  <c r="P17"/>
  <c r="S19"/>
  <c r="P21"/>
  <c r="S14"/>
  <c r="P19"/>
  <c r="S16"/>
  <c r="P20"/>
  <c r="S13"/>
  <c r="P16"/>
  <c r="S17"/>
  <c r="S21" i="5"/>
  <c r="S15"/>
  <c r="P16"/>
  <c r="S14"/>
  <c r="P15"/>
  <c r="P19"/>
  <c r="P18"/>
  <c r="S17"/>
  <c r="P14"/>
  <c r="P17"/>
  <c r="S16"/>
  <c r="S20"/>
  <c r="P12"/>
  <c r="S19"/>
  <c r="S12"/>
  <c r="S18"/>
  <c r="Q8"/>
  <c r="S13"/>
  <c r="P21"/>
  <c r="P13"/>
  <c r="P22" i="4"/>
  <c r="S22"/>
  <c r="S23"/>
  <c r="P23"/>
  <c r="S18" i="42"/>
  <c r="S16"/>
  <c r="P12"/>
  <c r="S20"/>
  <c r="P18"/>
  <c r="S17"/>
  <c r="P16"/>
  <c r="P13"/>
  <c r="S14"/>
  <c r="S13"/>
  <c r="P15"/>
  <c r="Q8"/>
  <c r="P21"/>
  <c r="P20"/>
  <c r="P17"/>
  <c r="S12"/>
  <c r="S19"/>
  <c r="P19"/>
  <c r="S21"/>
  <c r="S15"/>
  <c r="P14" i="28"/>
  <c r="S13"/>
  <c r="P13"/>
  <c r="S18"/>
  <c r="P15"/>
  <c r="P12" i="34"/>
  <c r="P22" i="43"/>
  <c r="S22"/>
  <c r="P23"/>
  <c r="S23"/>
  <c r="P20" i="28"/>
  <c r="S12"/>
  <c r="S16"/>
  <c r="S19"/>
  <c r="P21"/>
  <c r="S21"/>
  <c r="S14"/>
  <c r="S15"/>
  <c r="P19"/>
  <c r="P18"/>
  <c r="S17"/>
  <c r="P12"/>
  <c r="S20"/>
  <c r="P17"/>
  <c r="P16"/>
  <c r="S23" i="46"/>
  <c r="P14" i="34"/>
  <c r="P15"/>
  <c r="P13"/>
  <c r="S13"/>
  <c r="S19"/>
  <c r="S14"/>
  <c r="P17"/>
  <c r="P19"/>
  <c r="S21"/>
  <c r="S12"/>
  <c r="Q8"/>
  <c r="S17"/>
  <c r="P16"/>
  <c r="P21"/>
  <c r="S16"/>
  <c r="S18"/>
  <c r="S20"/>
  <c r="P18"/>
  <c r="S15"/>
  <c r="P23" i="46"/>
  <c r="S22"/>
  <c r="P22"/>
  <c r="S14" i="40"/>
  <c r="P17"/>
  <c r="S19"/>
  <c r="P13"/>
  <c r="P18"/>
  <c r="S17"/>
  <c r="P19"/>
  <c r="S20"/>
  <c r="P20"/>
  <c r="S13"/>
  <c r="P16"/>
  <c r="S15"/>
  <c r="P15"/>
  <c r="S18"/>
  <c r="P12"/>
  <c r="P14"/>
  <c r="S12"/>
  <c r="S16"/>
  <c r="P21"/>
  <c r="S21"/>
  <c r="S20" i="41"/>
  <c r="S14"/>
  <c r="P14"/>
  <c r="P18"/>
  <c r="P21"/>
  <c r="S18"/>
  <c r="S12"/>
  <c r="P13"/>
  <c r="P17"/>
  <c r="S15"/>
  <c r="S19"/>
  <c r="S16"/>
  <c r="P15"/>
  <c r="P20"/>
  <c r="S13"/>
  <c r="P19"/>
  <c r="S17"/>
  <c r="S21"/>
  <c r="P12"/>
  <c r="P16"/>
  <c r="P20" i="31"/>
  <c r="P17"/>
  <c r="S20"/>
  <c r="Q8"/>
  <c r="P14"/>
  <c r="P12"/>
  <c r="S15"/>
  <c r="S17"/>
  <c r="S13"/>
  <c r="S12"/>
  <c r="P18"/>
  <c r="P13"/>
  <c r="S21"/>
  <c r="P16"/>
  <c r="S14"/>
  <c r="S16"/>
  <c r="P15"/>
  <c r="S18"/>
  <c r="S19"/>
  <c r="P21"/>
  <c r="S19" i="23"/>
  <c r="S20"/>
  <c r="S18"/>
  <c r="P13"/>
  <c r="P15"/>
  <c r="P17"/>
  <c r="R22" i="25"/>
  <c r="R7"/>
  <c r="P15" s="1"/>
  <c r="Q8" i="23"/>
  <c r="P16"/>
  <c r="S13"/>
  <c r="P12"/>
  <c r="S14"/>
  <c r="S16"/>
  <c r="P19"/>
  <c r="P21"/>
  <c r="S12"/>
  <c r="P20"/>
  <c r="P14"/>
  <c r="S15"/>
  <c r="P18"/>
  <c r="S21"/>
  <c r="S23" i="39"/>
  <c r="S22"/>
  <c r="P23"/>
  <c r="P22"/>
  <c r="S22" i="35"/>
  <c r="P23"/>
  <c r="S23"/>
  <c r="P22"/>
  <c r="S22" i="32"/>
  <c r="P22"/>
  <c r="S23"/>
  <c r="P23"/>
  <c r="S21" i="30"/>
  <c r="S22"/>
  <c r="P21"/>
  <c r="P22"/>
  <c r="S23" i="29"/>
  <c r="P22"/>
  <c r="S22"/>
  <c r="P23"/>
  <c r="S22" i="26"/>
  <c r="P23"/>
  <c r="P22"/>
  <c r="S23"/>
  <c r="S23" i="36" l="1"/>
  <c r="S13" i="11"/>
  <c r="S23" s="1"/>
  <c r="P22" i="36"/>
  <c r="P23" i="33"/>
  <c r="S23" i="9"/>
  <c r="P23"/>
  <c r="S22" i="36"/>
  <c r="P23"/>
  <c r="P22" i="9"/>
  <c r="S23" i="33"/>
  <c r="S22"/>
  <c r="P22" i="11"/>
  <c r="P23"/>
  <c r="S22" i="9"/>
  <c r="P22" i="33"/>
  <c r="S22" i="38"/>
  <c r="P22"/>
  <c r="P23"/>
  <c r="S23"/>
  <c r="P23" i="5"/>
  <c r="P22"/>
  <c r="S23"/>
  <c r="S22"/>
  <c r="S23" i="42"/>
  <c r="P23"/>
  <c r="S22"/>
  <c r="P22"/>
  <c r="P22" i="28"/>
  <c r="P23" i="34"/>
  <c r="P22"/>
  <c r="S23" i="28"/>
  <c r="S22"/>
  <c r="P23"/>
  <c r="S22" i="34"/>
  <c r="S23"/>
  <c r="S22" i="41"/>
  <c r="P23" i="40"/>
  <c r="S23"/>
  <c r="S22"/>
  <c r="P22"/>
  <c r="P22" i="41"/>
  <c r="S23"/>
  <c r="P23"/>
  <c r="P23" i="31"/>
  <c r="S22"/>
  <c r="P22"/>
  <c r="S23"/>
  <c r="S20" i="25"/>
  <c r="P12"/>
  <c r="P14"/>
  <c r="P17"/>
  <c r="S14"/>
  <c r="P21"/>
  <c r="S17"/>
  <c r="Q8"/>
  <c r="S21"/>
  <c r="P19"/>
  <c r="S13"/>
  <c r="P20"/>
  <c r="S18"/>
  <c r="S16"/>
  <c r="S19"/>
  <c r="P18"/>
  <c r="P16"/>
  <c r="S15"/>
  <c r="P13"/>
  <c r="S12"/>
  <c r="S22" i="23"/>
  <c r="P22"/>
  <c r="P23"/>
  <c r="S23"/>
  <c r="S22" i="11" l="1"/>
  <c r="S22" i="25"/>
  <c r="P23"/>
  <c r="P22"/>
  <c r="S23"/>
</calcChain>
</file>

<file path=xl/sharedStrings.xml><?xml version="1.0" encoding="utf-8"?>
<sst xmlns="http://schemas.openxmlformats.org/spreadsheetml/2006/main" count="4534" uniqueCount="164">
  <si>
    <t>AVERAGE BAGGAGE WEIGHT TABLE</t>
  </si>
  <si>
    <t>FROM</t>
  </si>
  <si>
    <t>TO</t>
  </si>
  <si>
    <t>AVERAGE</t>
  </si>
  <si>
    <t>PAX NO ADL+CHD</t>
  </si>
  <si>
    <t>PCS per PAX</t>
  </si>
  <si>
    <t>WGHT per PC</t>
  </si>
  <si>
    <t>HB WGHT per PAX</t>
  </si>
  <si>
    <t>PCS per FLT</t>
  </si>
  <si>
    <t>BAGGAGE WGHT</t>
  </si>
  <si>
    <t xml:space="preserve">HB WGHT </t>
  </si>
  <si>
    <t>REN</t>
  </si>
  <si>
    <t>SVO</t>
  </si>
  <si>
    <t>DATE</t>
  </si>
  <si>
    <t>FLT NO</t>
  </si>
  <si>
    <t>AC TYPE</t>
  </si>
  <si>
    <t>ADULT</t>
  </si>
  <si>
    <t>CHD</t>
  </si>
  <si>
    <t>BAGGAGE</t>
  </si>
  <si>
    <t>CABIN BAGGAGE</t>
  </si>
  <si>
    <t>PCS</t>
  </si>
  <si>
    <t>WEIGHT</t>
  </si>
  <si>
    <t>A321</t>
  </si>
  <si>
    <t>B737</t>
  </si>
  <si>
    <t>LED</t>
  </si>
  <si>
    <t>MCX</t>
  </si>
  <si>
    <t>KGD</t>
  </si>
  <si>
    <t>DYU</t>
  </si>
  <si>
    <t>OSS</t>
  </si>
  <si>
    <t>UFA</t>
  </si>
  <si>
    <t>TJM</t>
  </si>
  <si>
    <t>N1456</t>
  </si>
  <si>
    <t>KUF</t>
  </si>
  <si>
    <t>KEJ</t>
  </si>
  <si>
    <t>N1460</t>
  </si>
  <si>
    <t>N41460</t>
  </si>
  <si>
    <t>LBD</t>
  </si>
  <si>
    <t>N41464</t>
  </si>
  <si>
    <t>KZN</t>
  </si>
  <si>
    <t>KQT</t>
  </si>
  <si>
    <t>N41442</t>
  </si>
  <si>
    <t>CCC</t>
  </si>
  <si>
    <t>VRA</t>
  </si>
  <si>
    <t>PMV</t>
  </si>
  <si>
    <t>STATUS</t>
  </si>
  <si>
    <t>ADULT+CHD</t>
  </si>
  <si>
    <t>No of PCS</t>
  </si>
  <si>
    <t>AVERAGE BAG WEIGHT</t>
  </si>
  <si>
    <t>NO BAG per PAX</t>
  </si>
  <si>
    <t>PRE</t>
  </si>
  <si>
    <t>LIR DATA/FINAL</t>
  </si>
  <si>
    <t>LOAD PLANNING DATA</t>
  </si>
  <si>
    <t>ULD</t>
  </si>
  <si>
    <t>BULK</t>
  </si>
  <si>
    <t>ULD NO</t>
  </si>
  <si>
    <t>NO of PCS</t>
  </si>
  <si>
    <t>KG per ULD</t>
  </si>
  <si>
    <t>POS</t>
  </si>
  <si>
    <t>KG per POS</t>
  </si>
  <si>
    <t>REST</t>
  </si>
  <si>
    <t>TOTAL</t>
  </si>
  <si>
    <t>A322</t>
  </si>
  <si>
    <t>B738</t>
  </si>
  <si>
    <t>B772</t>
  </si>
  <si>
    <t>MRV</t>
  </si>
  <si>
    <t>E90</t>
  </si>
  <si>
    <t>AER</t>
  </si>
  <si>
    <t>SSH</t>
  </si>
  <si>
    <t>ZIA</t>
  </si>
  <si>
    <t>EO3026</t>
  </si>
  <si>
    <t>SVX</t>
  </si>
  <si>
    <t>HRG</t>
  </si>
  <si>
    <t>EO3778</t>
  </si>
  <si>
    <t>B739</t>
  </si>
  <si>
    <t>A32Q</t>
  </si>
  <si>
    <t>PAX NO</t>
  </si>
  <si>
    <t>N480</t>
  </si>
  <si>
    <t>N482</t>
  </si>
  <si>
    <t>N478</t>
  </si>
  <si>
    <t>OMS</t>
  </si>
  <si>
    <t>KJA</t>
  </si>
  <si>
    <t>PRELIMINARY</t>
  </si>
  <si>
    <t>LIR OR FINAL</t>
  </si>
  <si>
    <t>CPT/SEC</t>
  </si>
  <si>
    <t>TTL</t>
  </si>
  <si>
    <t>Preliminary PAYLOAD</t>
  </si>
  <si>
    <t xml:space="preserve">PAX NO </t>
  </si>
  <si>
    <t>HB WGHT/PAX</t>
  </si>
  <si>
    <t>WGHT/ PC</t>
  </si>
  <si>
    <t>PCS/PAX</t>
  </si>
  <si>
    <t>PCS/FLT</t>
  </si>
  <si>
    <t>AVERAGE BAG NO/PAX</t>
  </si>
  <si>
    <t>BAX</t>
  </si>
  <si>
    <t>CSY</t>
  </si>
  <si>
    <t>CEK</t>
  </si>
  <si>
    <t>GOJ</t>
  </si>
  <si>
    <t>IWA</t>
  </si>
  <si>
    <t>KVX</t>
  </si>
  <si>
    <t>KRO</t>
  </si>
  <si>
    <t>NJC</t>
  </si>
  <si>
    <t>NOZ</t>
  </si>
  <si>
    <t>OVB</t>
  </si>
  <si>
    <t>PEE</t>
  </si>
  <si>
    <t>32Q</t>
  </si>
  <si>
    <t>A332</t>
  </si>
  <si>
    <t>SGC</t>
  </si>
  <si>
    <t>SKX</t>
  </si>
  <si>
    <t>EO443</t>
  </si>
  <si>
    <t>SCW</t>
  </si>
  <si>
    <t>TOF</t>
  </si>
  <si>
    <t>ULV</t>
  </si>
  <si>
    <t>NBC</t>
  </si>
  <si>
    <t>VOG</t>
  </si>
  <si>
    <t>MQF</t>
  </si>
  <si>
    <t>EO814</t>
  </si>
  <si>
    <t>EO957</t>
  </si>
  <si>
    <t>RGK</t>
  </si>
  <si>
    <t>EO956</t>
  </si>
  <si>
    <t>N484</t>
  </si>
  <si>
    <t>PLD</t>
  </si>
  <si>
    <t>C</t>
  </si>
  <si>
    <t>E</t>
  </si>
  <si>
    <t>B77W</t>
  </si>
  <si>
    <t>EO772</t>
  </si>
  <si>
    <t>OSW</t>
  </si>
  <si>
    <t>EO427</t>
  </si>
  <si>
    <t>SUI</t>
  </si>
  <si>
    <t>EO1298</t>
  </si>
  <si>
    <t>A333</t>
  </si>
  <si>
    <t>AYT</t>
  </si>
  <si>
    <t>N46102</t>
  </si>
  <si>
    <t>EO473</t>
  </si>
  <si>
    <t>HOG</t>
  </si>
  <si>
    <t>UTP</t>
  </si>
  <si>
    <t>GOX</t>
  </si>
  <si>
    <t>EO423</t>
  </si>
  <si>
    <t>EO435</t>
  </si>
  <si>
    <t>EO487</t>
  </si>
  <si>
    <t>EO419</t>
  </si>
  <si>
    <t>EO441</t>
  </si>
  <si>
    <t>EO1294</t>
  </si>
  <si>
    <t>EO6503</t>
  </si>
  <si>
    <t>EO433</t>
  </si>
  <si>
    <t>EO516</t>
  </si>
  <si>
    <t>EO459</t>
  </si>
  <si>
    <t>EO431</t>
  </si>
  <si>
    <t>EO519</t>
  </si>
  <si>
    <t>EO434</t>
  </si>
  <si>
    <t>EO429</t>
  </si>
  <si>
    <t>EO479</t>
  </si>
  <si>
    <t>EO513</t>
  </si>
  <si>
    <t>EO509</t>
  </si>
  <si>
    <t>EO432</t>
  </si>
  <si>
    <t>EO411</t>
  </si>
  <si>
    <t>EO979</t>
  </si>
  <si>
    <t>EO517</t>
  </si>
  <si>
    <t>EO6549</t>
  </si>
  <si>
    <t>EO6502</t>
  </si>
  <si>
    <t>EO6506</t>
  </si>
  <si>
    <t>EO6505</t>
  </si>
  <si>
    <t>EO449</t>
  </si>
  <si>
    <t>EO493</t>
  </si>
  <si>
    <t>EO515</t>
  </si>
  <si>
    <t>EO453</t>
  </si>
</sst>
</file>

<file path=xl/styles.xml><?xml version="1.0" encoding="utf-8"?>
<styleSheet xmlns="http://schemas.openxmlformats.org/spreadsheetml/2006/main">
  <numFmts count="2">
    <numFmt numFmtId="164" formatCode="[$-809]\ mmmm\ "/>
    <numFmt numFmtId="165" formatCode="dd\.mm\.yyyy"/>
  </numFmts>
  <fonts count="316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i/>
      <sz val="12"/>
      <color theme="1"/>
      <name val="Calibri"/>
      <family val="2"/>
      <charset val="204"/>
    </font>
    <font>
      <b/>
      <i/>
      <sz val="12"/>
      <color rgb="FFFF0000"/>
      <name val="Calibri"/>
      <family val="2"/>
      <charset val="204"/>
    </font>
    <font>
      <b/>
      <i/>
      <sz val="14"/>
      <color theme="1"/>
      <name val="MV Boli"/>
    </font>
    <font>
      <b/>
      <i/>
      <sz val="11"/>
      <color theme="1"/>
      <name val="MV Boli"/>
    </font>
    <font>
      <sz val="11"/>
      <color theme="1"/>
      <name val="MV Boli"/>
    </font>
    <font>
      <i/>
      <sz val="15"/>
      <color theme="1"/>
      <name val="MV Boli"/>
    </font>
    <font>
      <b/>
      <i/>
      <sz val="13"/>
      <color theme="1"/>
      <name val="MV Boli"/>
    </font>
    <font>
      <b/>
      <i/>
      <sz val="12"/>
      <color theme="1"/>
      <name val="MV Boli"/>
    </font>
    <font>
      <b/>
      <sz val="11"/>
      <color theme="1"/>
      <name val="MV Boli"/>
    </font>
    <font>
      <sz val="11"/>
      <color rgb="FFFF0000"/>
      <name val="MV Boli"/>
    </font>
    <font>
      <b/>
      <sz val="11"/>
      <color rgb="FF0070C0"/>
      <name val="MV Boli"/>
    </font>
    <font>
      <b/>
      <i/>
      <sz val="11"/>
      <color rgb="FF0070C0"/>
      <name val="MV Boli"/>
    </font>
    <font>
      <i/>
      <sz val="11"/>
      <color theme="1"/>
      <name val="MV Boli"/>
    </font>
    <font>
      <sz val="11"/>
      <color rgb="FF9C0006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rgb="FFF2F2F2"/>
      </patternFill>
    </fill>
    <fill>
      <patternFill patternType="solid">
        <fgColor theme="6" tint="0.79998168889431442"/>
        <bgColor rgb="FFECECEC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medium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00B0F0"/>
      </left>
      <right/>
      <top/>
      <bottom/>
      <diagonal/>
    </border>
    <border>
      <left/>
      <right style="medium">
        <color rgb="FF00B0F0"/>
      </right>
      <top/>
      <bottom/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/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95" fillId="0" borderId="0"/>
    <xf numFmtId="0" fontId="314" fillId="11" borderId="0" applyNumberFormat="0" applyBorder="0" applyAlignment="0" applyProtection="0"/>
  </cellStyleXfs>
  <cellXfs count="542">
    <xf numFmtId="0" fontId="0" fillId="0" borderId="0" xfId="0"/>
    <xf numFmtId="0" fontId="298" fillId="2" borderId="5" xfId="0" applyFont="1" applyFill="1" applyBorder="1"/>
    <xf numFmtId="0" fontId="300" fillId="0" borderId="4" xfId="0" applyFont="1" applyBorder="1"/>
    <xf numFmtId="1" fontId="296" fillId="4" borderId="5" xfId="0" applyNumberFormat="1" applyFont="1" applyFill="1" applyBorder="1"/>
    <xf numFmtId="0" fontId="300" fillId="2" borderId="5" xfId="0" applyFont="1" applyFill="1" applyBorder="1"/>
    <xf numFmtId="0" fontId="300" fillId="2" borderId="5" xfId="0" applyFont="1" applyFill="1" applyBorder="1" applyAlignment="1">
      <alignment vertical="center"/>
    </xf>
    <xf numFmtId="2" fontId="300" fillId="3" borderId="5" xfId="0" applyNumberFormat="1" applyFont="1" applyFill="1" applyBorder="1"/>
    <xf numFmtId="0" fontId="300" fillId="0" borderId="5" xfId="0" applyFont="1" applyBorder="1"/>
    <xf numFmtId="14" fontId="300" fillId="0" borderId="5" xfId="0" applyNumberFormat="1" applyFont="1" applyBorder="1"/>
    <xf numFmtId="0" fontId="300" fillId="3" borderId="5" xfId="0" applyFont="1" applyFill="1" applyBorder="1"/>
    <xf numFmtId="2" fontId="300" fillId="0" borderId="0" xfId="0" applyNumberFormat="1" applyFont="1"/>
    <xf numFmtId="14" fontId="300" fillId="0" borderId="5" xfId="0" applyNumberFormat="1" applyFont="1" applyBorder="1" applyProtection="1">
      <protection locked="0" hidden="1"/>
    </xf>
    <xf numFmtId="0" fontId="300" fillId="0" borderId="5" xfId="0" applyFont="1" applyBorder="1" applyProtection="1">
      <protection locked="0" hidden="1"/>
    </xf>
    <xf numFmtId="0" fontId="299" fillId="2" borderId="5" xfId="0" applyFont="1" applyFill="1" applyBorder="1"/>
    <xf numFmtId="0" fontId="301" fillId="0" borderId="5" xfId="0" applyFont="1" applyBorder="1"/>
    <xf numFmtId="1" fontId="301" fillId="0" borderId="5" xfId="0" applyNumberFormat="1" applyFont="1" applyBorder="1"/>
    <xf numFmtId="1" fontId="300" fillId="3" borderId="5" xfId="0" applyNumberFormat="1" applyFont="1" applyFill="1" applyBorder="1"/>
    <xf numFmtId="0" fontId="301" fillId="0" borderId="5" xfId="0" applyFont="1" applyBorder="1" applyProtection="1">
      <protection locked="0" hidden="1"/>
    </xf>
    <xf numFmtId="1" fontId="301" fillId="0" borderId="5" xfId="0" applyNumberFormat="1" applyFont="1" applyBorder="1" applyProtection="1">
      <protection locked="0" hidden="1"/>
    </xf>
    <xf numFmtId="1" fontId="301" fillId="3" borderId="5" xfId="0" applyNumberFormat="1" applyFont="1" applyFill="1" applyBorder="1"/>
    <xf numFmtId="0" fontId="301" fillId="0" borderId="5" xfId="0" applyFont="1" applyBorder="1" applyAlignment="1" applyProtection="1">
      <alignment horizontal="right"/>
      <protection locked="0" hidden="1"/>
    </xf>
    <xf numFmtId="1" fontId="302" fillId="3" borderId="5" xfId="0" applyNumberFormat="1" applyFont="1" applyFill="1" applyBorder="1"/>
    <xf numFmtId="0" fontId="300" fillId="5" borderId="5" xfId="0" applyFont="1" applyFill="1" applyBorder="1"/>
    <xf numFmtId="0" fontId="0" fillId="0" borderId="9" xfId="0" applyBorder="1"/>
    <xf numFmtId="14" fontId="0" fillId="0" borderId="9" xfId="0" applyNumberFormat="1" applyBorder="1"/>
    <xf numFmtId="2" fontId="300" fillId="3" borderId="9" xfId="0" applyNumberFormat="1" applyFont="1" applyFill="1" applyBorder="1"/>
    <xf numFmtId="0" fontId="300" fillId="2" borderId="4" xfId="0" applyFont="1" applyFill="1" applyBorder="1"/>
    <xf numFmtId="0" fontId="300" fillId="2" borderId="4" xfId="0" applyFont="1" applyFill="1" applyBorder="1" applyAlignment="1">
      <alignment vertical="center"/>
    </xf>
    <xf numFmtId="14" fontId="300" fillId="0" borderId="9" xfId="0" applyNumberFormat="1" applyFont="1" applyBorder="1" applyProtection="1">
      <protection locked="0" hidden="1"/>
    </xf>
    <xf numFmtId="0" fontId="300" fillId="0" borderId="9" xfId="0" applyFont="1" applyBorder="1" applyProtection="1">
      <protection locked="0" hidden="1"/>
    </xf>
    <xf numFmtId="14" fontId="300" fillId="0" borderId="4" xfId="0" applyNumberFormat="1" applyFont="1" applyBorder="1" applyProtection="1">
      <protection locked="0" hidden="1"/>
    </xf>
    <xf numFmtId="0" fontId="300" fillId="0" borderId="4" xfId="0" applyFont="1" applyBorder="1" applyProtection="1">
      <protection locked="0" hidden="1"/>
    </xf>
    <xf numFmtId="2" fontId="300" fillId="3" borderId="4" xfId="0" applyNumberFormat="1" applyFont="1" applyFill="1" applyBorder="1"/>
    <xf numFmtId="165" fontId="300" fillId="0" borderId="9" xfId="0" applyNumberFormat="1" applyFont="1" applyBorder="1" applyProtection="1">
      <protection locked="0" hidden="1"/>
    </xf>
    <xf numFmtId="0" fontId="305" fillId="0" borderId="0" xfId="0" applyFont="1"/>
    <xf numFmtId="0" fontId="305" fillId="0" borderId="17" xfId="0" applyFont="1" applyBorder="1"/>
    <xf numFmtId="0" fontId="305" fillId="0" borderId="18" xfId="0" applyFont="1" applyBorder="1"/>
    <xf numFmtId="0" fontId="305" fillId="0" borderId="19" xfId="0" applyFont="1" applyBorder="1"/>
    <xf numFmtId="0" fontId="305" fillId="0" borderId="20" xfId="0" applyFont="1" applyBorder="1"/>
    <xf numFmtId="0" fontId="305" fillId="0" borderId="21" xfId="0" applyFont="1" applyBorder="1"/>
    <xf numFmtId="0" fontId="305" fillId="0" borderId="15" xfId="0" applyFont="1" applyBorder="1" applyAlignment="1">
      <alignment horizontal="center" vertical="center"/>
    </xf>
    <xf numFmtId="0" fontId="312" fillId="0" borderId="11" xfId="0" applyFont="1" applyBorder="1" applyAlignment="1">
      <alignment horizontal="center" vertical="center"/>
    </xf>
    <xf numFmtId="0" fontId="305" fillId="7" borderId="11" xfId="0" applyFont="1" applyFill="1" applyBorder="1" applyAlignment="1">
      <alignment horizontal="center" vertical="center"/>
    </xf>
    <xf numFmtId="0" fontId="305" fillId="0" borderId="11" xfId="0" applyFont="1" applyBorder="1" applyAlignment="1">
      <alignment horizontal="center" vertical="center"/>
    </xf>
    <xf numFmtId="0" fontId="305" fillId="0" borderId="17" xfId="0" applyFont="1" applyBorder="1" applyAlignment="1">
      <alignment horizontal="center" vertical="center"/>
    </xf>
    <xf numFmtId="0" fontId="305" fillId="0" borderId="0" xfId="0" applyFont="1" applyAlignment="1">
      <alignment horizontal="center" vertical="center"/>
    </xf>
    <xf numFmtId="0" fontId="305" fillId="0" borderId="18" xfId="0" applyFont="1" applyBorder="1" applyAlignment="1">
      <alignment horizontal="center" vertical="center"/>
    </xf>
    <xf numFmtId="0" fontId="311" fillId="0" borderId="16" xfId="0" applyFont="1" applyBorder="1" applyAlignment="1">
      <alignment horizontal="center" vertical="center"/>
    </xf>
    <xf numFmtId="0" fontId="311" fillId="0" borderId="18" xfId="0" applyFont="1" applyBorder="1" applyAlignment="1">
      <alignment horizontal="center" vertical="center"/>
    </xf>
    <xf numFmtId="0" fontId="295" fillId="0" borderId="0" xfId="1"/>
    <xf numFmtId="0" fontId="300" fillId="0" borderId="5" xfId="1" applyFont="1" applyBorder="1" applyProtection="1">
      <protection locked="0"/>
    </xf>
    <xf numFmtId="0" fontId="298" fillId="2" borderId="5" xfId="1" applyFont="1" applyFill="1" applyBorder="1"/>
    <xf numFmtId="0" fontId="300" fillId="0" borderId="4" xfId="1" applyFont="1" applyBorder="1" applyProtection="1">
      <protection hidden="1"/>
    </xf>
    <xf numFmtId="1" fontId="296" fillId="4" borderId="5" xfId="1" applyNumberFormat="1" applyFont="1" applyFill="1" applyBorder="1" applyProtection="1">
      <protection hidden="1"/>
    </xf>
    <xf numFmtId="0" fontId="300" fillId="2" borderId="5" xfId="1" applyFont="1" applyFill="1" applyBorder="1"/>
    <xf numFmtId="0" fontId="300" fillId="2" borderId="5" xfId="1" applyFont="1" applyFill="1" applyBorder="1" applyAlignment="1">
      <alignment vertical="center"/>
    </xf>
    <xf numFmtId="14" fontId="300" fillId="0" borderId="5" xfId="1" applyNumberFormat="1" applyFont="1" applyBorder="1" applyProtection="1">
      <protection locked="0" hidden="1"/>
    </xf>
    <xf numFmtId="0" fontId="300" fillId="0" borderId="5" xfId="1" applyFont="1" applyBorder="1" applyProtection="1">
      <protection locked="0" hidden="1"/>
    </xf>
    <xf numFmtId="2" fontId="300" fillId="3" borderId="5" xfId="1" applyNumberFormat="1" applyFont="1" applyFill="1" applyBorder="1"/>
    <xf numFmtId="0" fontId="299" fillId="2" borderId="5" xfId="1" applyFont="1" applyFill="1" applyBorder="1"/>
    <xf numFmtId="0" fontId="301" fillId="0" borderId="5" xfId="1" applyFont="1" applyBorder="1"/>
    <xf numFmtId="1" fontId="301" fillId="0" borderId="5" xfId="1" applyNumberFormat="1" applyFont="1" applyBorder="1"/>
    <xf numFmtId="1" fontId="300" fillId="3" borderId="5" xfId="1" applyNumberFormat="1" applyFont="1" applyFill="1" applyBorder="1"/>
    <xf numFmtId="0" fontId="301" fillId="0" borderId="5" xfId="1" applyFont="1" applyBorder="1" applyProtection="1">
      <protection locked="0" hidden="1"/>
    </xf>
    <xf numFmtId="1" fontId="301" fillId="0" borderId="5" xfId="1" applyNumberFormat="1" applyFont="1" applyBorder="1" applyProtection="1">
      <protection locked="0" hidden="1"/>
    </xf>
    <xf numFmtId="1" fontId="301" fillId="3" borderId="5" xfId="1" applyNumberFormat="1" applyFont="1" applyFill="1" applyBorder="1"/>
    <xf numFmtId="14" fontId="300" fillId="0" borderId="5" xfId="1" applyNumberFormat="1" applyFont="1" applyBorder="1"/>
    <xf numFmtId="0" fontId="300" fillId="0" borderId="5" xfId="1" applyFont="1" applyBorder="1"/>
    <xf numFmtId="0" fontId="301" fillId="0" borderId="5" xfId="1" applyFont="1" applyBorder="1" applyAlignment="1" applyProtection="1">
      <alignment horizontal="right"/>
      <protection locked="0" hidden="1"/>
    </xf>
    <xf numFmtId="1" fontId="302" fillId="3" borderId="5" xfId="1" applyNumberFormat="1" applyFont="1" applyFill="1" applyBorder="1"/>
    <xf numFmtId="0" fontId="300" fillId="3" borderId="5" xfId="1" applyFont="1" applyFill="1" applyBorder="1"/>
    <xf numFmtId="2" fontId="300" fillId="0" borderId="0" xfId="1" applyNumberFormat="1" applyFont="1"/>
    <xf numFmtId="0" fontId="300" fillId="5" borderId="5" xfId="1" applyFont="1" applyFill="1" applyBorder="1"/>
    <xf numFmtId="0" fontId="300" fillId="0" borderId="4" xfId="1" applyFont="1" applyBorder="1"/>
    <xf numFmtId="1" fontId="296" fillId="4" borderId="5" xfId="1" applyNumberFormat="1" applyFont="1" applyFill="1" applyBorder="1"/>
    <xf numFmtId="0" fontId="300" fillId="2" borderId="4" xfId="1" applyFont="1" applyFill="1" applyBorder="1"/>
    <xf numFmtId="0" fontId="300" fillId="2" borderId="4" xfId="1" applyFont="1" applyFill="1" applyBorder="1" applyAlignment="1">
      <alignment vertical="center"/>
    </xf>
    <xf numFmtId="14" fontId="300" fillId="0" borderId="9" xfId="1" applyNumberFormat="1" applyFont="1" applyBorder="1" applyProtection="1">
      <protection locked="0" hidden="1"/>
    </xf>
    <xf numFmtId="0" fontId="300" fillId="0" borderId="9" xfId="1" applyFont="1" applyBorder="1" applyProtection="1">
      <protection locked="0" hidden="1"/>
    </xf>
    <xf numFmtId="2" fontId="300" fillId="3" borderId="9" xfId="1" applyNumberFormat="1" applyFont="1" applyFill="1" applyBorder="1"/>
    <xf numFmtId="14" fontId="295" fillId="0" borderId="9" xfId="1" applyNumberFormat="1" applyBorder="1"/>
    <xf numFmtId="0" fontId="295" fillId="0" borderId="9" xfId="1" applyBorder="1"/>
    <xf numFmtId="14" fontId="300" fillId="0" borderId="4" xfId="1" applyNumberFormat="1" applyFont="1" applyBorder="1" applyProtection="1">
      <protection locked="0" hidden="1"/>
    </xf>
    <xf numFmtId="0" fontId="300" fillId="0" borderId="4" xfId="1" applyFont="1" applyBorder="1" applyProtection="1">
      <protection locked="0" hidden="1"/>
    </xf>
    <xf numFmtId="2" fontId="300" fillId="3" borderId="4" xfId="1" applyNumberFormat="1" applyFont="1" applyFill="1" applyBorder="1"/>
    <xf numFmtId="14" fontId="300" fillId="0" borderId="9" xfId="1" applyNumberFormat="1" applyFont="1" applyBorder="1"/>
    <xf numFmtId="0" fontId="300" fillId="0" borderId="9" xfId="1" applyFont="1" applyBorder="1"/>
    <xf numFmtId="14" fontId="300" fillId="0" borderId="4" xfId="1" applyNumberFormat="1" applyFont="1" applyBorder="1"/>
    <xf numFmtId="2" fontId="300" fillId="0" borderId="9" xfId="1" applyNumberFormat="1" applyFont="1" applyBorder="1"/>
    <xf numFmtId="14" fontId="300" fillId="5" borderId="5" xfId="1" applyNumberFormat="1" applyFont="1" applyFill="1" applyBorder="1"/>
    <xf numFmtId="2" fontId="300" fillId="5" borderId="5" xfId="1" applyNumberFormat="1" applyFont="1" applyFill="1" applyBorder="1"/>
    <xf numFmtId="0" fontId="305" fillId="0" borderId="15" xfId="0" applyFont="1" applyBorder="1" applyAlignment="1" applyProtection="1">
      <alignment horizontal="center" vertical="center"/>
      <protection hidden="1"/>
    </xf>
    <xf numFmtId="0" fontId="312" fillId="0" borderId="11" xfId="0" applyFont="1" applyBorder="1" applyAlignment="1" applyProtection="1">
      <alignment horizontal="center" vertical="center"/>
      <protection hidden="1"/>
    </xf>
    <xf numFmtId="1" fontId="304" fillId="10" borderId="11" xfId="0" applyNumberFormat="1" applyFont="1" applyFill="1" applyBorder="1" applyAlignment="1" applyProtection="1">
      <alignment horizontal="center" vertical="center"/>
      <protection hidden="1"/>
    </xf>
    <xf numFmtId="0" fontId="311" fillId="0" borderId="16" xfId="0" applyFont="1" applyBorder="1" applyAlignment="1" applyProtection="1">
      <alignment horizontal="center" vertical="center"/>
      <protection locked="0"/>
    </xf>
    <xf numFmtId="0" fontId="312" fillId="0" borderId="11" xfId="0" applyFont="1" applyBorder="1" applyAlignment="1" applyProtection="1">
      <alignment horizontal="center" vertical="center"/>
      <protection locked="0"/>
    </xf>
    <xf numFmtId="0" fontId="310" fillId="2" borderId="11" xfId="0" applyFont="1" applyFill="1" applyBorder="1" applyProtection="1">
      <protection locked="0" hidden="1"/>
    </xf>
    <xf numFmtId="0" fontId="294" fillId="0" borderId="9" xfId="1" applyFont="1" applyBorder="1"/>
    <xf numFmtId="14" fontId="295" fillId="0" borderId="24" xfId="1" applyNumberFormat="1" applyBorder="1"/>
    <xf numFmtId="0" fontId="295" fillId="0" borderId="24" xfId="1" applyBorder="1"/>
    <xf numFmtId="0" fontId="293" fillId="0" borderId="9" xfId="1" applyFont="1" applyBorder="1"/>
    <xf numFmtId="14" fontId="0" fillId="0" borderId="0" xfId="0" applyNumberFormat="1"/>
    <xf numFmtId="14" fontId="300" fillId="0" borderId="4" xfId="0" applyNumberFormat="1" applyFont="1" applyBorder="1"/>
    <xf numFmtId="14" fontId="300" fillId="0" borderId="9" xfId="0" applyNumberFormat="1" applyFont="1" applyBorder="1"/>
    <xf numFmtId="0" fontId="300" fillId="0" borderId="9" xfId="0" applyFont="1" applyBorder="1"/>
    <xf numFmtId="2" fontId="300" fillId="0" borderId="9" xfId="0" applyNumberFormat="1" applyFont="1" applyBorder="1"/>
    <xf numFmtId="0" fontId="300" fillId="0" borderId="0" xfId="0" applyFont="1"/>
    <xf numFmtId="2" fontId="300" fillId="3" borderId="0" xfId="0" applyNumberFormat="1" applyFont="1" applyFill="1"/>
    <xf numFmtId="2" fontId="300" fillId="3" borderId="3" xfId="1" applyNumberFormat="1" applyFont="1" applyFill="1" applyBorder="1"/>
    <xf numFmtId="0" fontId="292" fillId="0" borderId="9" xfId="1" applyFont="1" applyBorder="1"/>
    <xf numFmtId="0" fontId="291" fillId="0" borderId="9" xfId="1" applyFont="1" applyBorder="1"/>
    <xf numFmtId="0" fontId="290" fillId="0" borderId="9" xfId="1" applyFont="1" applyBorder="1"/>
    <xf numFmtId="0" fontId="289" fillId="0" borderId="9" xfId="1" applyFont="1" applyBorder="1"/>
    <xf numFmtId="14" fontId="288" fillId="0" borderId="9" xfId="1" applyNumberFormat="1" applyFont="1" applyBorder="1"/>
    <xf numFmtId="0" fontId="287" fillId="0" borderId="9" xfId="1" applyFont="1" applyBorder="1"/>
    <xf numFmtId="14" fontId="287" fillId="0" borderId="9" xfId="1" applyNumberFormat="1" applyFont="1" applyBorder="1"/>
    <xf numFmtId="0" fontId="286" fillId="0" borderId="9" xfId="1" applyFont="1" applyBorder="1"/>
    <xf numFmtId="14" fontId="285" fillId="0" borderId="9" xfId="1" applyNumberFormat="1" applyFont="1" applyBorder="1"/>
    <xf numFmtId="0" fontId="284" fillId="0" borderId="9" xfId="1" applyFont="1" applyBorder="1"/>
    <xf numFmtId="14" fontId="283" fillId="0" borderId="9" xfId="1" applyNumberFormat="1" applyFont="1" applyBorder="1"/>
    <xf numFmtId="2" fontId="300" fillId="3" borderId="8" xfId="1" applyNumberFormat="1" applyFont="1" applyFill="1" applyBorder="1"/>
    <xf numFmtId="0" fontId="282" fillId="0" borderId="9" xfId="1" applyFont="1" applyBorder="1"/>
    <xf numFmtId="14" fontId="281" fillId="0" borderId="9" xfId="1" applyNumberFormat="1" applyFont="1" applyBorder="1"/>
    <xf numFmtId="0" fontId="280" fillId="0" borderId="9" xfId="1" applyFont="1" applyBorder="1"/>
    <xf numFmtId="14" fontId="279" fillId="0" borderId="9" xfId="1" applyNumberFormat="1" applyFont="1" applyBorder="1"/>
    <xf numFmtId="14" fontId="278" fillId="0" borderId="9" xfId="1" applyNumberFormat="1" applyFont="1" applyBorder="1"/>
    <xf numFmtId="14" fontId="277" fillId="0" borderId="9" xfId="1" applyNumberFormat="1" applyFont="1" applyBorder="1"/>
    <xf numFmtId="14" fontId="276" fillId="0" borderId="9" xfId="1" applyNumberFormat="1" applyFont="1" applyBorder="1"/>
    <xf numFmtId="0" fontId="275" fillId="0" borderId="9" xfId="1" applyFont="1" applyBorder="1"/>
    <xf numFmtId="0" fontId="274" fillId="0" borderId="9" xfId="1" applyFont="1" applyBorder="1"/>
    <xf numFmtId="0" fontId="273" fillId="0" borderId="9" xfId="1" applyFont="1" applyBorder="1"/>
    <xf numFmtId="0" fontId="272" fillId="0" borderId="9" xfId="1" applyFont="1" applyBorder="1"/>
    <xf numFmtId="0" fontId="271" fillId="0" borderId="9" xfId="1" applyFont="1" applyBorder="1"/>
    <xf numFmtId="14" fontId="271" fillId="0" borderId="9" xfId="1" applyNumberFormat="1" applyFont="1" applyBorder="1"/>
    <xf numFmtId="14" fontId="270" fillId="0" borderId="9" xfId="1" applyNumberFormat="1" applyFont="1" applyBorder="1"/>
    <xf numFmtId="0" fontId="269" fillId="0" borderId="9" xfId="1" applyFont="1" applyBorder="1"/>
    <xf numFmtId="14" fontId="268" fillId="0" borderId="9" xfId="1" applyNumberFormat="1" applyFont="1" applyBorder="1"/>
    <xf numFmtId="0" fontId="267" fillId="0" borderId="9" xfId="1" applyFont="1" applyBorder="1"/>
    <xf numFmtId="0" fontId="266" fillId="0" borderId="9" xfId="1" applyFont="1" applyBorder="1"/>
    <xf numFmtId="0" fontId="265" fillId="0" borderId="9" xfId="1" applyFont="1" applyBorder="1"/>
    <xf numFmtId="0" fontId="264" fillId="0" borderId="9" xfId="1" applyFont="1" applyBorder="1"/>
    <xf numFmtId="0" fontId="263" fillId="0" borderId="9" xfId="1" applyFont="1" applyBorder="1"/>
    <xf numFmtId="14" fontId="263" fillId="0" borderId="9" xfId="1" applyNumberFormat="1" applyFont="1" applyBorder="1"/>
    <xf numFmtId="0" fontId="262" fillId="0" borderId="9" xfId="1" applyFont="1" applyBorder="1"/>
    <xf numFmtId="0" fontId="261" fillId="0" borderId="9" xfId="1" applyFont="1" applyBorder="1"/>
    <xf numFmtId="0" fontId="260" fillId="0" borderId="9" xfId="1" applyFont="1" applyBorder="1"/>
    <xf numFmtId="0" fontId="259" fillId="0" borderId="9" xfId="1" applyFont="1" applyBorder="1"/>
    <xf numFmtId="14" fontId="259" fillId="0" borderId="9" xfId="1" applyNumberFormat="1" applyFont="1" applyBorder="1"/>
    <xf numFmtId="0" fontId="258" fillId="0" borderId="9" xfId="1" applyFont="1" applyBorder="1"/>
    <xf numFmtId="0" fontId="257" fillId="0" borderId="9" xfId="1" applyFont="1" applyBorder="1"/>
    <xf numFmtId="0" fontId="256" fillId="0" borderId="9" xfId="1" applyFont="1" applyBorder="1"/>
    <xf numFmtId="0" fontId="255" fillId="0" borderId="9" xfId="1" applyFont="1" applyBorder="1"/>
    <xf numFmtId="14" fontId="254" fillId="0" borderId="9" xfId="1" applyNumberFormat="1" applyFont="1" applyBorder="1"/>
    <xf numFmtId="0" fontId="253" fillId="0" borderId="9" xfId="1" applyFont="1" applyBorder="1"/>
    <xf numFmtId="0" fontId="252" fillId="0" borderId="9" xfId="0" applyFont="1" applyBorder="1"/>
    <xf numFmtId="0" fontId="252" fillId="0" borderId="9" xfId="1" applyFont="1" applyBorder="1"/>
    <xf numFmtId="0" fontId="251" fillId="0" borderId="9" xfId="1" applyFont="1" applyBorder="1"/>
    <xf numFmtId="0" fontId="250" fillId="0" borderId="9" xfId="1" applyFont="1" applyBorder="1"/>
    <xf numFmtId="0" fontId="249" fillId="0" borderId="9" xfId="1" applyFont="1" applyBorder="1"/>
    <xf numFmtId="14" fontId="248" fillId="0" borderId="9" xfId="1" applyNumberFormat="1" applyFont="1" applyBorder="1"/>
    <xf numFmtId="14" fontId="247" fillId="0" borderId="9" xfId="1" applyNumberFormat="1" applyFont="1" applyBorder="1"/>
    <xf numFmtId="14" fontId="246" fillId="0" borderId="9" xfId="1" applyNumberFormat="1" applyFont="1" applyBorder="1"/>
    <xf numFmtId="0" fontId="245" fillId="0" borderId="9" xfId="1" applyFont="1" applyBorder="1"/>
    <xf numFmtId="0" fontId="244" fillId="0" borderId="9" xfId="1" applyFont="1" applyBorder="1"/>
    <xf numFmtId="0" fontId="243" fillId="0" borderId="9" xfId="1" applyFont="1" applyBorder="1"/>
    <xf numFmtId="0" fontId="242" fillId="0" borderId="9" xfId="1" applyFont="1" applyBorder="1"/>
    <xf numFmtId="0" fontId="241" fillId="0" borderId="9" xfId="1" applyFont="1" applyBorder="1"/>
    <xf numFmtId="0" fontId="240" fillId="0" borderId="24" xfId="1" applyFont="1" applyBorder="1"/>
    <xf numFmtId="0" fontId="240" fillId="0" borderId="9" xfId="1" applyFont="1" applyBorder="1"/>
    <xf numFmtId="0" fontId="239" fillId="0" borderId="9" xfId="1" applyFont="1" applyBorder="1"/>
    <xf numFmtId="0" fontId="238" fillId="0" borderId="9" xfId="1" applyFont="1" applyBorder="1"/>
    <xf numFmtId="0" fontId="237" fillId="0" borderId="9" xfId="1" applyFont="1" applyBorder="1"/>
    <xf numFmtId="0" fontId="236" fillId="0" borderId="9" xfId="1" applyFont="1" applyBorder="1"/>
    <xf numFmtId="0" fontId="235" fillId="0" borderId="9" xfId="1" applyFont="1" applyBorder="1"/>
    <xf numFmtId="14" fontId="234" fillId="0" borderId="9" xfId="1" applyNumberFormat="1" applyFont="1" applyBorder="1"/>
    <xf numFmtId="14" fontId="233" fillId="0" borderId="9" xfId="1" applyNumberFormat="1" applyFont="1" applyBorder="1"/>
    <xf numFmtId="14" fontId="232" fillId="0" borderId="9" xfId="1" applyNumberFormat="1" applyFont="1" applyBorder="1"/>
    <xf numFmtId="0" fontId="231" fillId="0" borderId="9" xfId="1" applyFont="1" applyBorder="1"/>
    <xf numFmtId="0" fontId="230" fillId="0" borderId="9" xfId="1" applyFont="1" applyBorder="1"/>
    <xf numFmtId="14" fontId="229" fillId="0" borderId="9" xfId="1" applyNumberFormat="1" applyFont="1" applyBorder="1"/>
    <xf numFmtId="14" fontId="228" fillId="0" borderId="9" xfId="1" applyNumberFormat="1" applyFont="1" applyBorder="1"/>
    <xf numFmtId="0" fontId="227" fillId="0" borderId="9" xfId="1" applyFont="1" applyBorder="1"/>
    <xf numFmtId="0" fontId="226" fillId="0" borderId="9" xfId="1" applyFont="1" applyBorder="1"/>
    <xf numFmtId="0" fontId="225" fillId="0" borderId="9" xfId="1" applyFont="1" applyBorder="1"/>
    <xf numFmtId="0" fontId="224" fillId="0" borderId="9" xfId="1" applyFont="1" applyBorder="1"/>
    <xf numFmtId="0" fontId="223" fillId="0" borderId="9" xfId="1" applyFont="1" applyBorder="1"/>
    <xf numFmtId="0" fontId="222" fillId="0" borderId="9" xfId="1" applyFont="1" applyBorder="1"/>
    <xf numFmtId="0" fontId="221" fillId="0" borderId="9" xfId="1" applyFont="1" applyBorder="1"/>
    <xf numFmtId="14" fontId="221" fillId="0" borderId="9" xfId="1" applyNumberFormat="1" applyFont="1" applyBorder="1"/>
    <xf numFmtId="0" fontId="220" fillId="0" borderId="9" xfId="1" applyFont="1" applyBorder="1"/>
    <xf numFmtId="0" fontId="219" fillId="0" borderId="9" xfId="1" applyFont="1" applyBorder="1"/>
    <xf numFmtId="0" fontId="218" fillId="0" borderId="9" xfId="1" applyFont="1" applyBorder="1"/>
    <xf numFmtId="0" fontId="217" fillId="0" borderId="9" xfId="1" applyFont="1" applyBorder="1"/>
    <xf numFmtId="0" fontId="216" fillId="0" borderId="9" xfId="0" applyFont="1" applyBorder="1"/>
    <xf numFmtId="0" fontId="215" fillId="0" borderId="9" xfId="1" applyFont="1" applyBorder="1"/>
    <xf numFmtId="0" fontId="214" fillId="0" borderId="9" xfId="1" applyFont="1" applyBorder="1"/>
    <xf numFmtId="0" fontId="213" fillId="0" borderId="9" xfId="1" applyFont="1" applyBorder="1"/>
    <xf numFmtId="0" fontId="212" fillId="0" borderId="9" xfId="1" applyFont="1" applyBorder="1"/>
    <xf numFmtId="14" fontId="212" fillId="0" borderId="9" xfId="1" applyNumberFormat="1" applyFont="1" applyBorder="1"/>
    <xf numFmtId="0" fontId="211" fillId="0" borderId="9" xfId="1" applyFont="1" applyBorder="1"/>
    <xf numFmtId="2" fontId="312" fillId="0" borderId="11" xfId="0" applyNumberFormat="1" applyFont="1" applyBorder="1" applyAlignment="1" applyProtection="1">
      <alignment horizontal="center" vertical="center"/>
      <protection locked="0"/>
    </xf>
    <xf numFmtId="0" fontId="210" fillId="0" borderId="9" xfId="1" applyFont="1" applyBorder="1"/>
    <xf numFmtId="0" fontId="209" fillId="0" borderId="9" xfId="1" applyFont="1" applyBorder="1"/>
    <xf numFmtId="0" fontId="208" fillId="0" borderId="9" xfId="1" applyFont="1" applyBorder="1"/>
    <xf numFmtId="0" fontId="207" fillId="0" borderId="9" xfId="1" applyFont="1" applyBorder="1"/>
    <xf numFmtId="0" fontId="207" fillId="0" borderId="24" xfId="1" applyFont="1" applyBorder="1"/>
    <xf numFmtId="0" fontId="206" fillId="0" borderId="9" xfId="1" applyFont="1" applyBorder="1"/>
    <xf numFmtId="0" fontId="0" fillId="0" borderId="26" xfId="0" applyBorder="1"/>
    <xf numFmtId="2" fontId="300" fillId="3" borderId="26" xfId="0" applyNumberFormat="1" applyFont="1" applyFill="1" applyBorder="1"/>
    <xf numFmtId="0" fontId="205" fillId="0" borderId="9" xfId="1" applyFont="1" applyBorder="1"/>
    <xf numFmtId="0" fontId="204" fillId="0" borderId="9" xfId="1" applyFont="1" applyBorder="1"/>
    <xf numFmtId="14" fontId="204" fillId="0" borderId="9" xfId="1" applyNumberFormat="1" applyFont="1" applyBorder="1"/>
    <xf numFmtId="0" fontId="203" fillId="0" borderId="9" xfId="1" applyFont="1" applyBorder="1"/>
    <xf numFmtId="0" fontId="202" fillId="0" borderId="9" xfId="1" applyFont="1" applyBorder="1"/>
    <xf numFmtId="0" fontId="201" fillId="0" borderId="9" xfId="1" applyFont="1" applyBorder="1"/>
    <xf numFmtId="0" fontId="315" fillId="12" borderId="9" xfId="2" applyFont="1" applyFill="1" applyBorder="1"/>
    <xf numFmtId="14" fontId="200" fillId="0" borderId="9" xfId="1" applyNumberFormat="1" applyFont="1" applyBorder="1"/>
    <xf numFmtId="14" fontId="199" fillId="0" borderId="9" xfId="1" applyNumberFormat="1" applyFont="1" applyBorder="1"/>
    <xf numFmtId="0" fontId="198" fillId="0" borderId="9" xfId="1" applyFont="1" applyBorder="1"/>
    <xf numFmtId="14" fontId="197" fillId="0" borderId="9" xfId="1" applyNumberFormat="1" applyFont="1" applyBorder="1"/>
    <xf numFmtId="0" fontId="196" fillId="0" borderId="9" xfId="1" applyFont="1" applyBorder="1"/>
    <xf numFmtId="0" fontId="195" fillId="0" borderId="9" xfId="1" applyFont="1" applyBorder="1"/>
    <xf numFmtId="0" fontId="194" fillId="0" borderId="9" xfId="1" applyFont="1" applyBorder="1"/>
    <xf numFmtId="14" fontId="193" fillId="0" borderId="9" xfId="1" applyNumberFormat="1" applyFont="1" applyBorder="1"/>
    <xf numFmtId="14" fontId="192" fillId="0" borderId="9" xfId="1" applyNumberFormat="1" applyFont="1" applyBorder="1"/>
    <xf numFmtId="0" fontId="191" fillId="0" borderId="9" xfId="1" applyFont="1" applyBorder="1"/>
    <xf numFmtId="0" fontId="190" fillId="0" borderId="9" xfId="1" applyFont="1" applyBorder="1"/>
    <xf numFmtId="14" fontId="189" fillId="0" borderId="9" xfId="1" applyNumberFormat="1" applyFont="1" applyBorder="1"/>
    <xf numFmtId="0" fontId="189" fillId="0" borderId="9" xfId="1" applyFont="1" applyBorder="1"/>
    <xf numFmtId="0" fontId="188" fillId="0" borderId="9" xfId="1" applyFont="1" applyBorder="1"/>
    <xf numFmtId="0" fontId="187" fillId="0" borderId="9" xfId="1" applyFont="1" applyBorder="1"/>
    <xf numFmtId="14" fontId="187" fillId="0" borderId="9" xfId="1" applyNumberFormat="1" applyFont="1" applyBorder="1"/>
    <xf numFmtId="0" fontId="186" fillId="0" borderId="9" xfId="1" applyFont="1" applyBorder="1"/>
    <xf numFmtId="0" fontId="185" fillId="0" borderId="9" xfId="1" applyFont="1" applyBorder="1"/>
    <xf numFmtId="0" fontId="184" fillId="0" borderId="9" xfId="1" applyFont="1" applyBorder="1"/>
    <xf numFmtId="0" fontId="183" fillId="0" borderId="9" xfId="1" applyFont="1" applyBorder="1"/>
    <xf numFmtId="0" fontId="182" fillId="0" borderId="9" xfId="1" applyFont="1" applyBorder="1"/>
    <xf numFmtId="0" fontId="181" fillId="0" borderId="9" xfId="1" applyFont="1" applyBorder="1"/>
    <xf numFmtId="0" fontId="180" fillId="0" borderId="9" xfId="1" applyFont="1" applyBorder="1"/>
    <xf numFmtId="0" fontId="179" fillId="0" borderId="9" xfId="1" applyFont="1" applyBorder="1"/>
    <xf numFmtId="0" fontId="178" fillId="0" borderId="9" xfId="1" applyFont="1" applyBorder="1"/>
    <xf numFmtId="0" fontId="177" fillId="0" borderId="9" xfId="1" applyFont="1" applyBorder="1"/>
    <xf numFmtId="0" fontId="176" fillId="0" borderId="9" xfId="1" applyFont="1" applyBorder="1"/>
    <xf numFmtId="0" fontId="175" fillId="0" borderId="9" xfId="1" applyFont="1" applyBorder="1"/>
    <xf numFmtId="0" fontId="174" fillId="0" borderId="9" xfId="1" applyFont="1" applyBorder="1"/>
    <xf numFmtId="0" fontId="173" fillId="0" borderId="9" xfId="1" applyFont="1" applyBorder="1"/>
    <xf numFmtId="14" fontId="172" fillId="0" borderId="9" xfId="1" applyNumberFormat="1" applyFont="1" applyBorder="1"/>
    <xf numFmtId="0" fontId="171" fillId="0" borderId="9" xfId="1" applyFont="1" applyBorder="1"/>
    <xf numFmtId="0" fontId="170" fillId="0" borderId="9" xfId="1" applyFont="1" applyBorder="1"/>
    <xf numFmtId="0" fontId="169" fillId="0" borderId="9" xfId="1" applyFont="1" applyBorder="1"/>
    <xf numFmtId="0" fontId="168" fillId="0" borderId="9" xfId="1" applyFont="1" applyBorder="1"/>
    <xf numFmtId="0" fontId="167" fillId="0" borderId="9" xfId="1" applyFont="1" applyBorder="1"/>
    <xf numFmtId="0" fontId="166" fillId="0" borderId="9" xfId="1" applyFont="1" applyBorder="1"/>
    <xf numFmtId="0" fontId="165" fillId="0" borderId="9" xfId="1" applyFont="1" applyBorder="1"/>
    <xf numFmtId="0" fontId="164" fillId="0" borderId="9" xfId="1" applyFont="1" applyBorder="1"/>
    <xf numFmtId="0" fontId="163" fillId="0" borderId="9" xfId="1" applyFont="1" applyBorder="1"/>
    <xf numFmtId="0" fontId="162" fillId="0" borderId="9" xfId="1" applyFont="1" applyBorder="1"/>
    <xf numFmtId="14" fontId="161" fillId="0" borderId="9" xfId="1" applyNumberFormat="1" applyFont="1" applyBorder="1"/>
    <xf numFmtId="0" fontId="160" fillId="0" borderId="9" xfId="1" applyFont="1" applyBorder="1"/>
    <xf numFmtId="0" fontId="159" fillId="0" borderId="9" xfId="1" applyFont="1" applyBorder="1"/>
    <xf numFmtId="14" fontId="158" fillId="0" borderId="9" xfId="1" applyNumberFormat="1" applyFont="1" applyBorder="1"/>
    <xf numFmtId="0" fontId="157" fillId="0" borderId="9" xfId="1" applyFont="1" applyBorder="1"/>
    <xf numFmtId="0" fontId="156" fillId="0" borderId="9" xfId="1" applyFont="1" applyBorder="1"/>
    <xf numFmtId="0" fontId="155" fillId="0" borderId="9" xfId="1" applyFont="1" applyBorder="1"/>
    <xf numFmtId="0" fontId="154" fillId="0" borderId="9" xfId="1" applyFont="1" applyBorder="1"/>
    <xf numFmtId="0" fontId="153" fillId="0" borderId="9" xfId="1" applyFont="1" applyBorder="1"/>
    <xf numFmtId="0" fontId="152" fillId="0" borderId="9" xfId="1" applyFont="1" applyBorder="1"/>
    <xf numFmtId="0" fontId="151" fillId="0" borderId="9" xfId="1" applyFont="1" applyBorder="1"/>
    <xf numFmtId="0" fontId="150" fillId="0" borderId="9" xfId="1" applyFont="1" applyBorder="1"/>
    <xf numFmtId="0" fontId="149" fillId="0" borderId="9" xfId="1" applyFont="1" applyBorder="1"/>
    <xf numFmtId="0" fontId="148" fillId="0" borderId="9" xfId="1" applyFont="1" applyBorder="1"/>
    <xf numFmtId="0" fontId="147" fillId="0" borderId="9" xfId="1" applyFont="1" applyBorder="1"/>
    <xf numFmtId="0" fontId="146" fillId="0" borderId="9" xfId="1" applyFont="1" applyBorder="1"/>
    <xf numFmtId="14" fontId="145" fillId="0" borderId="9" xfId="1" applyNumberFormat="1" applyFont="1" applyBorder="1"/>
    <xf numFmtId="0" fontId="145" fillId="0" borderId="9" xfId="1" applyFont="1" applyBorder="1"/>
    <xf numFmtId="0" fontId="144" fillId="0" borderId="9" xfId="1" applyFont="1" applyBorder="1"/>
    <xf numFmtId="0" fontId="143" fillId="0" borderId="9" xfId="1" applyFont="1" applyBorder="1"/>
    <xf numFmtId="0" fontId="142" fillId="0" borderId="9" xfId="1" applyFont="1" applyBorder="1"/>
    <xf numFmtId="0" fontId="141" fillId="0" borderId="9" xfId="1" applyFont="1" applyBorder="1"/>
    <xf numFmtId="0" fontId="140" fillId="0" borderId="9" xfId="1" applyFont="1" applyBorder="1"/>
    <xf numFmtId="0" fontId="139" fillId="0" borderId="9" xfId="1" applyFont="1" applyBorder="1"/>
    <xf numFmtId="0" fontId="138" fillId="0" borderId="9" xfId="1" applyFont="1" applyBorder="1"/>
    <xf numFmtId="0" fontId="137" fillId="0" borderId="9" xfId="1" applyFont="1" applyBorder="1"/>
    <xf numFmtId="0" fontId="136" fillId="0" borderId="9" xfId="1" applyFont="1" applyBorder="1"/>
    <xf numFmtId="0" fontId="135" fillId="0" borderId="9" xfId="1" applyFont="1" applyBorder="1"/>
    <xf numFmtId="0" fontId="134" fillId="0" borderId="9" xfId="1" applyFont="1" applyBorder="1"/>
    <xf numFmtId="0" fontId="133" fillId="0" borderId="9" xfId="1" applyFont="1" applyBorder="1"/>
    <xf numFmtId="0" fontId="132" fillId="0" borderId="9" xfId="1" applyFont="1" applyBorder="1"/>
    <xf numFmtId="0" fontId="131" fillId="0" borderId="9" xfId="1" applyFont="1" applyBorder="1"/>
    <xf numFmtId="0" fontId="130" fillId="0" borderId="9" xfId="1" applyFont="1" applyBorder="1"/>
    <xf numFmtId="0" fontId="129" fillId="0" borderId="9" xfId="1" applyFont="1" applyBorder="1"/>
    <xf numFmtId="0" fontId="128" fillId="0" borderId="9" xfId="1" applyFont="1" applyBorder="1"/>
    <xf numFmtId="0" fontId="127" fillId="0" borderId="9" xfId="1" applyFont="1" applyBorder="1"/>
    <xf numFmtId="14" fontId="126" fillId="0" borderId="9" xfId="1" applyNumberFormat="1" applyFont="1" applyBorder="1"/>
    <xf numFmtId="0" fontId="125" fillId="0" borderId="9" xfId="1" applyFont="1" applyBorder="1"/>
    <xf numFmtId="0" fontId="124" fillId="0" borderId="9" xfId="1" applyFont="1" applyBorder="1"/>
    <xf numFmtId="0" fontId="123" fillId="0" borderId="9" xfId="1" applyFont="1" applyBorder="1"/>
    <xf numFmtId="0" fontId="122" fillId="0" borderId="9" xfId="1" applyFont="1" applyBorder="1"/>
    <xf numFmtId="0" fontId="121" fillId="0" borderId="9" xfId="1" applyFont="1" applyBorder="1"/>
    <xf numFmtId="0" fontId="120" fillId="0" borderId="9" xfId="1" applyFont="1" applyBorder="1"/>
    <xf numFmtId="14" fontId="119" fillId="0" borderId="9" xfId="1" applyNumberFormat="1" applyFont="1" applyBorder="1"/>
    <xf numFmtId="0" fontId="118" fillId="0" borderId="9" xfId="1" applyFont="1" applyBorder="1"/>
    <xf numFmtId="0" fontId="117" fillId="0" borderId="9" xfId="1" applyFont="1" applyBorder="1"/>
    <xf numFmtId="0" fontId="116" fillId="0" borderId="9" xfId="1" applyFont="1" applyBorder="1"/>
    <xf numFmtId="0" fontId="115" fillId="0" borderId="9" xfId="1" applyFont="1" applyBorder="1"/>
    <xf numFmtId="0" fontId="114" fillId="0" borderId="9" xfId="1" applyFont="1" applyBorder="1"/>
    <xf numFmtId="0" fontId="113" fillId="0" borderId="9" xfId="1" applyFont="1" applyBorder="1"/>
    <xf numFmtId="0" fontId="112" fillId="0" borderId="9" xfId="1" applyFont="1" applyBorder="1"/>
    <xf numFmtId="0" fontId="111" fillId="0" borderId="9" xfId="1" applyFont="1" applyBorder="1"/>
    <xf numFmtId="0" fontId="110" fillId="0" borderId="9" xfId="1" applyFont="1" applyBorder="1"/>
    <xf numFmtId="0" fontId="109" fillId="0" borderId="9" xfId="1" applyFont="1" applyBorder="1"/>
    <xf numFmtId="14" fontId="108" fillId="0" borderId="9" xfId="1" applyNumberFormat="1" applyFont="1" applyBorder="1"/>
    <xf numFmtId="0" fontId="108" fillId="0" borderId="9" xfId="1" applyFont="1" applyBorder="1"/>
    <xf numFmtId="0" fontId="108" fillId="0" borderId="24" xfId="1" applyFont="1" applyBorder="1"/>
    <xf numFmtId="0" fontId="107" fillId="0" borderId="9" xfId="1" applyFont="1" applyBorder="1"/>
    <xf numFmtId="14" fontId="106" fillId="0" borderId="9" xfId="1" applyNumberFormat="1" applyFont="1" applyBorder="1"/>
    <xf numFmtId="0" fontId="105" fillId="0" borderId="9" xfId="0" applyFont="1" applyBorder="1"/>
    <xf numFmtId="0" fontId="105" fillId="0" borderId="9" xfId="1" applyFont="1" applyBorder="1"/>
    <xf numFmtId="0" fontId="104" fillId="0" borderId="9" xfId="1" applyFont="1" applyBorder="1"/>
    <xf numFmtId="0" fontId="103" fillId="0" borderId="9" xfId="1" applyFont="1" applyBorder="1"/>
    <xf numFmtId="0" fontId="102" fillId="0" borderId="9" xfId="1" applyFont="1" applyBorder="1"/>
    <xf numFmtId="0" fontId="101" fillId="0" borderId="9" xfId="1" applyFont="1" applyBorder="1"/>
    <xf numFmtId="0" fontId="100" fillId="0" borderId="9" xfId="1" applyFont="1" applyBorder="1"/>
    <xf numFmtId="0" fontId="99" fillId="0" borderId="9" xfId="1" applyFont="1" applyBorder="1"/>
    <xf numFmtId="0" fontId="98" fillId="0" borderId="9" xfId="1" applyFont="1" applyBorder="1"/>
    <xf numFmtId="0" fontId="97" fillId="0" borderId="9" xfId="1" applyFont="1" applyBorder="1"/>
    <xf numFmtId="0" fontId="96" fillId="0" borderId="9" xfId="1" applyFont="1" applyBorder="1"/>
    <xf numFmtId="0" fontId="95" fillId="0" borderId="9" xfId="1" applyFont="1" applyBorder="1"/>
    <xf numFmtId="0" fontId="94" fillId="0" borderId="9" xfId="1" applyFont="1" applyBorder="1"/>
    <xf numFmtId="0" fontId="93" fillId="0" borderId="9" xfId="1" applyFont="1" applyBorder="1"/>
    <xf numFmtId="0" fontId="92" fillId="0" borderId="9" xfId="1" applyFont="1" applyBorder="1"/>
    <xf numFmtId="0" fontId="91" fillId="0" borderId="9" xfId="1" applyFont="1" applyBorder="1"/>
    <xf numFmtId="0" fontId="90" fillId="0" borderId="9" xfId="1" applyFont="1" applyBorder="1"/>
    <xf numFmtId="0" fontId="89" fillId="0" borderId="9" xfId="1" applyFont="1" applyBorder="1"/>
    <xf numFmtId="0" fontId="88" fillId="0" borderId="9" xfId="1" applyFont="1" applyBorder="1"/>
    <xf numFmtId="0" fontId="87" fillId="0" borderId="9" xfId="1" applyFont="1" applyBorder="1"/>
    <xf numFmtId="0" fontId="86" fillId="0" borderId="9" xfId="1" applyFont="1" applyBorder="1"/>
    <xf numFmtId="0" fontId="85" fillId="0" borderId="9" xfId="1" applyFont="1" applyBorder="1"/>
    <xf numFmtId="14" fontId="84" fillId="0" borderId="9" xfId="1" applyNumberFormat="1" applyFont="1" applyBorder="1"/>
    <xf numFmtId="0" fontId="84" fillId="0" borderId="9" xfId="1" applyFont="1" applyBorder="1"/>
    <xf numFmtId="0" fontId="83" fillId="0" borderId="9" xfId="1" applyFont="1" applyBorder="1"/>
    <xf numFmtId="0" fontId="82" fillId="0" borderId="9" xfId="1" applyFont="1" applyBorder="1"/>
    <xf numFmtId="0" fontId="81" fillId="0" borderId="9" xfId="1" applyFont="1" applyBorder="1"/>
    <xf numFmtId="14" fontId="81" fillId="0" borderId="9" xfId="1" applyNumberFormat="1" applyFont="1" applyBorder="1"/>
    <xf numFmtId="14" fontId="80" fillId="0" borderId="9" xfId="1" applyNumberFormat="1" applyFont="1" applyBorder="1"/>
    <xf numFmtId="0" fontId="79" fillId="0" borderId="9" xfId="1" applyFont="1" applyBorder="1"/>
    <xf numFmtId="14" fontId="78" fillId="0" borderId="9" xfId="1" applyNumberFormat="1" applyFont="1" applyBorder="1"/>
    <xf numFmtId="0" fontId="77" fillId="0" borderId="9" xfId="1" applyFont="1" applyBorder="1"/>
    <xf numFmtId="0" fontId="76" fillId="0" borderId="9" xfId="0" applyFont="1" applyBorder="1"/>
    <xf numFmtId="0" fontId="76" fillId="0" borderId="9" xfId="1" applyFont="1" applyBorder="1"/>
    <xf numFmtId="0" fontId="75" fillId="0" borderId="9" xfId="0" applyFont="1" applyBorder="1"/>
    <xf numFmtId="0" fontId="74" fillId="0" borderId="9" xfId="0" applyFont="1" applyBorder="1"/>
    <xf numFmtId="0" fontId="74" fillId="0" borderId="9" xfId="1" applyFont="1" applyBorder="1"/>
    <xf numFmtId="0" fontId="73" fillId="0" borderId="9" xfId="1" applyFont="1" applyBorder="1"/>
    <xf numFmtId="0" fontId="72" fillId="0" borderId="9" xfId="0" applyFont="1" applyBorder="1"/>
    <xf numFmtId="0" fontId="71" fillId="0" borderId="9" xfId="1" applyFont="1" applyBorder="1"/>
    <xf numFmtId="14" fontId="71" fillId="0" borderId="9" xfId="1" applyNumberFormat="1" applyFont="1" applyBorder="1"/>
    <xf numFmtId="0" fontId="70" fillId="0" borderId="9" xfId="1" applyFont="1" applyBorder="1"/>
    <xf numFmtId="0" fontId="69" fillId="0" borderId="9" xfId="1" applyFont="1" applyBorder="1"/>
    <xf numFmtId="0" fontId="68" fillId="0" borderId="9" xfId="1" applyFont="1" applyBorder="1"/>
    <xf numFmtId="0" fontId="67" fillId="0" borderId="9" xfId="1" applyFont="1" applyBorder="1"/>
    <xf numFmtId="0" fontId="66" fillId="0" borderId="9" xfId="1" applyFont="1" applyBorder="1"/>
    <xf numFmtId="14" fontId="66" fillId="0" borderId="9" xfId="1" applyNumberFormat="1" applyFont="1" applyBorder="1"/>
    <xf numFmtId="0" fontId="65" fillId="0" borderId="9" xfId="1" applyFont="1" applyBorder="1"/>
    <xf numFmtId="0" fontId="64" fillId="0" borderId="9" xfId="1" applyFont="1" applyBorder="1"/>
    <xf numFmtId="0" fontId="64" fillId="0" borderId="9" xfId="0" applyFont="1" applyBorder="1"/>
    <xf numFmtId="0" fontId="64" fillId="0" borderId="26" xfId="1" applyFont="1" applyBorder="1"/>
    <xf numFmtId="2" fontId="300" fillId="3" borderId="26" xfId="1" applyNumberFormat="1" applyFont="1" applyFill="1" applyBorder="1"/>
    <xf numFmtId="0" fontId="63" fillId="0" borderId="9" xfId="1" applyFont="1" applyBorder="1"/>
    <xf numFmtId="0" fontId="62" fillId="0" borderId="9" xfId="1" applyFont="1" applyBorder="1"/>
    <xf numFmtId="0" fontId="61" fillId="0" borderId="9" xfId="1" applyFont="1" applyBorder="1"/>
    <xf numFmtId="0" fontId="60" fillId="0" borderId="9" xfId="1" applyFont="1" applyBorder="1"/>
    <xf numFmtId="0" fontId="59" fillId="0" borderId="9" xfId="1" applyFont="1" applyBorder="1"/>
    <xf numFmtId="0" fontId="58" fillId="0" borderId="9" xfId="1" applyFont="1" applyBorder="1"/>
    <xf numFmtId="0" fontId="58" fillId="0" borderId="26" xfId="1" applyFont="1" applyBorder="1"/>
    <xf numFmtId="0" fontId="57" fillId="0" borderId="9" xfId="1" applyFont="1" applyBorder="1"/>
    <xf numFmtId="0" fontId="56" fillId="0" borderId="9" xfId="1" applyFont="1" applyBorder="1"/>
    <xf numFmtId="0" fontId="55" fillId="0" borderId="9" xfId="1" applyFont="1" applyBorder="1"/>
    <xf numFmtId="14" fontId="55" fillId="0" borderId="9" xfId="1" applyNumberFormat="1" applyFont="1" applyBorder="1"/>
    <xf numFmtId="0" fontId="54" fillId="0" borderId="9" xfId="1" applyFont="1" applyBorder="1"/>
    <xf numFmtId="0" fontId="54" fillId="0" borderId="26" xfId="1" applyFont="1" applyBorder="1"/>
    <xf numFmtId="0" fontId="53" fillId="0" borderId="9" xfId="1" applyFont="1" applyBorder="1"/>
    <xf numFmtId="14" fontId="52" fillId="0" borderId="9" xfId="1" applyNumberFormat="1" applyFont="1" applyBorder="1"/>
    <xf numFmtId="0" fontId="51" fillId="0" borderId="9" xfId="1" applyFont="1" applyBorder="1"/>
    <xf numFmtId="0" fontId="50" fillId="0" borderId="9" xfId="1" applyFont="1" applyBorder="1"/>
    <xf numFmtId="0" fontId="49" fillId="0" borderId="9" xfId="1" applyFont="1" applyBorder="1"/>
    <xf numFmtId="0" fontId="48" fillId="0" borderId="9" xfId="1" applyFont="1" applyBorder="1"/>
    <xf numFmtId="0" fontId="47" fillId="0" borderId="9" xfId="1" applyFont="1" applyBorder="1"/>
    <xf numFmtId="0" fontId="46" fillId="0" borderId="9" xfId="1" applyFont="1" applyBorder="1"/>
    <xf numFmtId="0" fontId="45" fillId="0" borderId="9" xfId="0" applyFont="1" applyBorder="1"/>
    <xf numFmtId="0" fontId="44" fillId="0" borderId="9" xfId="1" applyFont="1" applyBorder="1"/>
    <xf numFmtId="0" fontId="43" fillId="0" borderId="9" xfId="0" applyFont="1" applyBorder="1"/>
    <xf numFmtId="0" fontId="43" fillId="0" borderId="9" xfId="1" applyFont="1" applyBorder="1"/>
    <xf numFmtId="0" fontId="42" fillId="0" borderId="9" xfId="1" applyFont="1" applyBorder="1"/>
    <xf numFmtId="14" fontId="42" fillId="0" borderId="9" xfId="1" applyNumberFormat="1" applyFont="1" applyBorder="1"/>
    <xf numFmtId="0" fontId="41" fillId="0" borderId="9" xfId="1" applyFont="1" applyBorder="1"/>
    <xf numFmtId="0" fontId="40" fillId="0" borderId="9" xfId="1" applyFont="1" applyBorder="1"/>
    <xf numFmtId="0" fontId="39" fillId="0" borderId="9" xfId="1" applyFont="1" applyBorder="1"/>
    <xf numFmtId="0" fontId="38" fillId="0" borderId="9" xfId="1" applyFont="1" applyBorder="1"/>
    <xf numFmtId="0" fontId="37" fillId="0" borderId="9" xfId="1" applyFont="1" applyBorder="1"/>
    <xf numFmtId="14" fontId="36" fillId="0" borderId="9" xfId="1" applyNumberFormat="1" applyFont="1" applyBorder="1"/>
    <xf numFmtId="0" fontId="36" fillId="0" borderId="9" xfId="1" applyFont="1" applyBorder="1"/>
    <xf numFmtId="0" fontId="35" fillId="0" borderId="9" xfId="1" applyFont="1" applyBorder="1"/>
    <xf numFmtId="14" fontId="35" fillId="0" borderId="9" xfId="1" applyNumberFormat="1" applyFont="1" applyBorder="1"/>
    <xf numFmtId="0" fontId="34" fillId="0" borderId="9" xfId="1" applyFont="1" applyBorder="1"/>
    <xf numFmtId="0" fontId="34" fillId="0" borderId="9" xfId="0" applyFont="1" applyBorder="1"/>
    <xf numFmtId="0" fontId="33" fillId="0" borderId="9" xfId="0" applyFont="1" applyBorder="1"/>
    <xf numFmtId="0" fontId="33" fillId="0" borderId="9" xfId="1" applyFont="1" applyBorder="1"/>
    <xf numFmtId="2" fontId="0" fillId="0" borderId="9" xfId="0" applyNumberFormat="1" applyBorder="1"/>
    <xf numFmtId="0" fontId="32" fillId="0" borderId="9" xfId="1" applyFont="1" applyBorder="1"/>
    <xf numFmtId="14" fontId="32" fillId="0" borderId="24" xfId="1" applyNumberFormat="1" applyFont="1" applyBorder="1"/>
    <xf numFmtId="0" fontId="32" fillId="0" borderId="24" xfId="1" applyFont="1" applyBorder="1"/>
    <xf numFmtId="0" fontId="32" fillId="0" borderId="9" xfId="0" applyFont="1" applyBorder="1"/>
    <xf numFmtId="0" fontId="31" fillId="0" borderId="9" xfId="1" applyFont="1" applyBorder="1"/>
    <xf numFmtId="0" fontId="30" fillId="0" borderId="9" xfId="0" applyFont="1" applyBorder="1"/>
    <xf numFmtId="0" fontId="30" fillId="0" borderId="9" xfId="1" applyFont="1" applyBorder="1"/>
    <xf numFmtId="0" fontId="29" fillId="0" borderId="9" xfId="1" applyFont="1" applyBorder="1"/>
    <xf numFmtId="0" fontId="28" fillId="0" borderId="9" xfId="1" applyFont="1" applyBorder="1"/>
    <xf numFmtId="0" fontId="27" fillId="0" borderId="9" xfId="1" applyFont="1" applyBorder="1"/>
    <xf numFmtId="0" fontId="26" fillId="0" borderId="9" xfId="1" applyFont="1" applyBorder="1"/>
    <xf numFmtId="0" fontId="25" fillId="0" borderId="9" xfId="1" applyFont="1" applyBorder="1"/>
    <xf numFmtId="0" fontId="24" fillId="0" borderId="9" xfId="1" applyFont="1" applyBorder="1"/>
    <xf numFmtId="14" fontId="24" fillId="0" borderId="9" xfId="1" applyNumberFormat="1" applyFont="1" applyBorder="1"/>
    <xf numFmtId="0" fontId="23" fillId="0" borderId="9" xfId="1" applyFont="1" applyBorder="1"/>
    <xf numFmtId="0" fontId="22" fillId="0" borderId="9" xfId="1" applyFont="1" applyBorder="1"/>
    <xf numFmtId="0" fontId="21" fillId="0" borderId="9" xfId="1" applyFont="1" applyBorder="1"/>
    <xf numFmtId="0" fontId="20" fillId="0" borderId="9" xfId="1" applyFont="1" applyBorder="1"/>
    <xf numFmtId="0" fontId="20" fillId="0" borderId="26" xfId="1" applyFont="1" applyBorder="1"/>
    <xf numFmtId="0" fontId="19" fillId="0" borderId="9" xfId="1" applyFont="1" applyBorder="1"/>
    <xf numFmtId="0" fontId="18" fillId="0" borderId="9" xfId="1" applyFont="1" applyBorder="1"/>
    <xf numFmtId="0" fontId="17" fillId="0" borderId="9" xfId="1" applyFont="1" applyBorder="1"/>
    <xf numFmtId="0" fontId="16" fillId="0" borderId="9" xfId="1" applyFont="1" applyBorder="1"/>
    <xf numFmtId="0" fontId="15" fillId="0" borderId="9" xfId="1" applyFont="1" applyBorder="1"/>
    <xf numFmtId="0" fontId="14" fillId="0" borderId="9" xfId="1" applyFont="1" applyBorder="1"/>
    <xf numFmtId="14" fontId="14" fillId="0" borderId="9" xfId="1" applyNumberFormat="1" applyFont="1" applyBorder="1"/>
    <xf numFmtId="0" fontId="13" fillId="0" borderId="9" xfId="1" applyFont="1" applyBorder="1"/>
    <xf numFmtId="0" fontId="12" fillId="0" borderId="26" xfId="1" applyFont="1" applyBorder="1"/>
    <xf numFmtId="0" fontId="11" fillId="0" borderId="9" xfId="1" applyFont="1" applyBorder="1"/>
    <xf numFmtId="0" fontId="10" fillId="0" borderId="9" xfId="1" applyFont="1" applyBorder="1"/>
    <xf numFmtId="0" fontId="9" fillId="0" borderId="9" xfId="0" applyFont="1" applyBorder="1"/>
    <xf numFmtId="0" fontId="9" fillId="0" borderId="9" xfId="1" applyFont="1" applyBorder="1"/>
    <xf numFmtId="0" fontId="8" fillId="0" borderId="9" xfId="1" applyFont="1" applyBorder="1"/>
    <xf numFmtId="0" fontId="8" fillId="0" borderId="26" xfId="1" applyFont="1" applyBorder="1"/>
    <xf numFmtId="0" fontId="7" fillId="0" borderId="9" xfId="1" applyFont="1" applyBorder="1"/>
    <xf numFmtId="0" fontId="6" fillId="0" borderId="9" xfId="1" applyFont="1" applyBorder="1"/>
    <xf numFmtId="0" fontId="5" fillId="0" borderId="9" xfId="1" applyFont="1" applyBorder="1"/>
    <xf numFmtId="0" fontId="4" fillId="0" borderId="9" xfId="1" applyFont="1" applyBorder="1"/>
    <xf numFmtId="0" fontId="3" fillId="0" borderId="9" xfId="1" applyFont="1" applyBorder="1"/>
    <xf numFmtId="0" fontId="2" fillId="0" borderId="9" xfId="1" applyFont="1" applyBorder="1"/>
    <xf numFmtId="0" fontId="1" fillId="0" borderId="9" xfId="0" applyFont="1" applyBorder="1"/>
    <xf numFmtId="1" fontId="305" fillId="0" borderId="11" xfId="0" applyNumberFormat="1" applyFont="1" applyBorder="1" applyAlignment="1" applyProtection="1">
      <alignment horizontal="center"/>
      <protection hidden="1"/>
    </xf>
    <xf numFmtId="1" fontId="308" fillId="7" borderId="11" xfId="0" applyNumberFormat="1" applyFont="1" applyFill="1" applyBorder="1" applyAlignment="1" applyProtection="1">
      <alignment horizontal="center"/>
      <protection hidden="1"/>
    </xf>
    <xf numFmtId="1" fontId="308" fillId="7" borderId="16" xfId="0" applyNumberFormat="1" applyFont="1" applyFill="1" applyBorder="1" applyAlignment="1" applyProtection="1">
      <alignment horizontal="center"/>
      <protection hidden="1"/>
    </xf>
    <xf numFmtId="0" fontId="308" fillId="0" borderId="15" xfId="0" applyFont="1" applyBorder="1" applyAlignment="1">
      <alignment horizontal="center"/>
    </xf>
    <xf numFmtId="0" fontId="308" fillId="0" borderId="11" xfId="0" applyFont="1" applyBorder="1"/>
    <xf numFmtId="0" fontId="308" fillId="6" borderId="15" xfId="0" applyFont="1" applyFill="1" applyBorder="1" applyAlignment="1">
      <alignment horizontal="center"/>
    </xf>
    <xf numFmtId="0" fontId="308" fillId="6" borderId="11" xfId="0" applyFont="1" applyFill="1" applyBorder="1"/>
    <xf numFmtId="0" fontId="308" fillId="6" borderId="11" xfId="0" applyFont="1" applyFill="1" applyBorder="1" applyAlignment="1">
      <alignment horizontal="center"/>
    </xf>
    <xf numFmtId="0" fontId="305" fillId="0" borderId="11" xfId="0" applyFont="1" applyBorder="1" applyAlignment="1" applyProtection="1">
      <alignment horizontal="center"/>
      <protection locked="0"/>
    </xf>
    <xf numFmtId="1" fontId="309" fillId="7" borderId="11" xfId="0" applyNumberFormat="1" applyFont="1" applyFill="1" applyBorder="1" applyAlignment="1" applyProtection="1">
      <alignment horizontal="center"/>
      <protection hidden="1"/>
    </xf>
    <xf numFmtId="1" fontId="308" fillId="0" borderId="11" xfId="0" applyNumberFormat="1" applyFont="1" applyBorder="1" applyAlignment="1" applyProtection="1">
      <alignment horizontal="center"/>
      <protection locked="0"/>
    </xf>
    <xf numFmtId="0" fontId="308" fillId="0" borderId="11" xfId="0" applyFont="1" applyBorder="1" applyAlignment="1">
      <alignment horizontal="center"/>
    </xf>
    <xf numFmtId="0" fontId="304" fillId="6" borderId="15" xfId="0" applyFont="1" applyFill="1" applyBorder="1" applyAlignment="1">
      <alignment horizontal="center"/>
    </xf>
    <xf numFmtId="0" fontId="304" fillId="6" borderId="11" xfId="0" applyFont="1" applyFill="1" applyBorder="1" applyAlignment="1">
      <alignment horizontal="center"/>
    </xf>
    <xf numFmtId="0" fontId="304" fillId="6" borderId="11" xfId="0" applyFont="1" applyFill="1" applyBorder="1"/>
    <xf numFmtId="0" fontId="307" fillId="2" borderId="15" xfId="0" applyFont="1" applyFill="1" applyBorder="1" applyAlignment="1">
      <alignment horizontal="center"/>
    </xf>
    <xf numFmtId="0" fontId="307" fillId="2" borderId="11" xfId="0" applyFont="1" applyFill="1" applyBorder="1" applyAlignment="1">
      <alignment horizontal="center"/>
    </xf>
    <xf numFmtId="0" fontId="307" fillId="2" borderId="16" xfId="0" applyFont="1" applyFill="1" applyBorder="1" applyAlignment="1">
      <alignment horizontal="center"/>
    </xf>
    <xf numFmtId="0" fontId="304" fillId="6" borderId="16" xfId="0" applyFont="1" applyFill="1" applyBorder="1" applyAlignment="1">
      <alignment horizontal="center"/>
    </xf>
    <xf numFmtId="1" fontId="305" fillId="7" borderId="11" xfId="0" applyNumberFormat="1" applyFont="1" applyFill="1" applyBorder="1" applyAlignment="1" applyProtection="1">
      <alignment horizontal="center"/>
      <protection hidden="1"/>
    </xf>
    <xf numFmtId="2" fontId="306" fillId="7" borderId="11" xfId="0" applyNumberFormat="1" applyFont="1" applyFill="1" applyBorder="1" applyAlignment="1" applyProtection="1">
      <alignment horizontal="center" vertical="center"/>
      <protection hidden="1"/>
    </xf>
    <xf numFmtId="2" fontId="306" fillId="7" borderId="16" xfId="0" applyNumberFormat="1" applyFont="1" applyFill="1" applyBorder="1" applyAlignment="1" applyProtection="1">
      <alignment horizontal="center" vertical="center"/>
      <protection hidden="1"/>
    </xf>
    <xf numFmtId="0" fontId="304" fillId="2" borderId="15" xfId="0" applyFont="1" applyFill="1" applyBorder="1" applyAlignment="1">
      <alignment horizontal="center"/>
    </xf>
    <xf numFmtId="0" fontId="304" fillId="2" borderId="11" xfId="0" applyFont="1" applyFill="1" applyBorder="1" applyAlignment="1">
      <alignment horizontal="center"/>
    </xf>
    <xf numFmtId="0" fontId="304" fillId="2" borderId="16" xfId="0" applyFont="1" applyFill="1" applyBorder="1" applyAlignment="1">
      <alignment horizontal="center"/>
    </xf>
    <xf numFmtId="0" fontId="309" fillId="2" borderId="11" xfId="0" applyFont="1" applyFill="1" applyBorder="1" applyAlignment="1" applyProtection="1">
      <alignment horizontal="center" vertical="center"/>
      <protection locked="0" hidden="1"/>
    </xf>
    <xf numFmtId="0" fontId="309" fillId="2" borderId="11" xfId="0" applyFont="1" applyFill="1" applyBorder="1" applyAlignment="1" applyProtection="1">
      <alignment horizontal="center"/>
      <protection locked="0" hidden="1"/>
    </xf>
    <xf numFmtId="2" fontId="305" fillId="9" borderId="11" xfId="0" applyNumberFormat="1" applyFont="1" applyFill="1" applyBorder="1" applyAlignment="1" applyProtection="1">
      <alignment horizontal="center" vertical="center"/>
      <protection hidden="1"/>
    </xf>
    <xf numFmtId="2" fontId="305" fillId="7" borderId="11" xfId="0" applyNumberFormat="1" applyFont="1" applyFill="1" applyBorder="1" applyAlignment="1" applyProtection="1">
      <alignment horizontal="center" vertical="center"/>
      <protection hidden="1"/>
    </xf>
    <xf numFmtId="2" fontId="313" fillId="7" borderId="22" xfId="0" applyNumberFormat="1" applyFont="1" applyFill="1" applyBorder="1" applyAlignment="1" applyProtection="1">
      <alignment horizontal="center" vertical="center"/>
      <protection hidden="1"/>
    </xf>
    <xf numFmtId="2" fontId="313" fillId="7" borderId="23" xfId="0" applyNumberFormat="1" applyFont="1" applyFill="1" applyBorder="1" applyAlignment="1" applyProtection="1">
      <alignment horizontal="center" vertical="center"/>
      <protection hidden="1"/>
    </xf>
    <xf numFmtId="0" fontId="310" fillId="2" borderId="11" xfId="0" applyFont="1" applyFill="1" applyBorder="1" applyAlignment="1" applyProtection="1">
      <alignment horizontal="center"/>
      <protection locked="0" hidden="1"/>
    </xf>
    <xf numFmtId="0" fontId="305" fillId="6" borderId="16" xfId="0" applyFont="1" applyFill="1" applyBorder="1" applyAlignment="1">
      <alignment horizontal="center" vertical="center"/>
    </xf>
    <xf numFmtId="0" fontId="303" fillId="2" borderId="12" xfId="0" applyFont="1" applyFill="1" applyBorder="1" applyAlignment="1">
      <alignment horizontal="center"/>
    </xf>
    <xf numFmtId="0" fontId="303" fillId="2" borderId="13" xfId="0" applyFont="1" applyFill="1" applyBorder="1" applyAlignment="1">
      <alignment horizontal="center"/>
    </xf>
    <xf numFmtId="0" fontId="303" fillId="2" borderId="14" xfId="0" applyFont="1" applyFill="1" applyBorder="1" applyAlignment="1">
      <alignment horizontal="center"/>
    </xf>
    <xf numFmtId="0" fontId="309" fillId="2" borderId="15" xfId="0" applyFont="1" applyFill="1" applyBorder="1" applyAlignment="1" applyProtection="1">
      <alignment horizontal="center" vertical="center"/>
      <protection locked="0" hidden="1"/>
    </xf>
    <xf numFmtId="2" fontId="295" fillId="7" borderId="23" xfId="0" applyNumberFormat="1" applyFont="1" applyFill="1" applyBorder="1" applyProtection="1">
      <protection hidden="1"/>
    </xf>
    <xf numFmtId="0" fontId="0" fillId="8" borderId="0" xfId="0" applyFill="1" applyAlignment="1">
      <alignment horizontal="center"/>
    </xf>
    <xf numFmtId="2" fontId="305" fillId="9" borderId="11" xfId="0" applyNumberFormat="1" applyFont="1" applyFill="1" applyBorder="1" applyAlignment="1">
      <alignment horizontal="center" vertical="center"/>
    </xf>
    <xf numFmtId="2" fontId="305" fillId="9" borderId="11" xfId="0" applyNumberFormat="1" applyFont="1" applyFill="1" applyBorder="1" applyAlignment="1">
      <alignment horizontal="center"/>
    </xf>
    <xf numFmtId="0" fontId="299" fillId="2" borderId="4" xfId="0" applyFont="1" applyFill="1" applyBorder="1" applyAlignment="1">
      <alignment horizontal="center" vertical="center" wrapText="1"/>
    </xf>
    <xf numFmtId="0" fontId="297" fillId="0" borderId="6" xfId="0" applyFont="1" applyBorder="1"/>
    <xf numFmtId="2" fontId="300" fillId="3" borderId="4" xfId="0" applyNumberFormat="1" applyFont="1" applyFill="1" applyBorder="1" applyAlignment="1">
      <alignment horizontal="center" vertical="center"/>
    </xf>
    <xf numFmtId="0" fontId="299" fillId="2" borderId="1" xfId="0" applyFont="1" applyFill="1" applyBorder="1" applyAlignment="1">
      <alignment horizontal="center"/>
    </xf>
    <xf numFmtId="0" fontId="297" fillId="0" borderId="2" xfId="0" applyFont="1" applyBorder="1"/>
    <xf numFmtId="0" fontId="297" fillId="0" borderId="3" xfId="0" applyFont="1" applyBorder="1"/>
    <xf numFmtId="0" fontId="299" fillId="2" borderId="4" xfId="0" applyFont="1" applyFill="1" applyBorder="1" applyAlignment="1">
      <alignment horizontal="center" vertical="center"/>
    </xf>
    <xf numFmtId="0" fontId="300" fillId="2" borderId="4" xfId="0" applyFont="1" applyFill="1" applyBorder="1" applyAlignment="1">
      <alignment horizontal="center" wrapText="1"/>
    </xf>
    <xf numFmtId="0" fontId="297" fillId="0" borderId="10" xfId="0" applyFont="1" applyBorder="1"/>
    <xf numFmtId="2" fontId="300" fillId="3" borderId="7" xfId="0" applyNumberFormat="1" applyFont="1" applyFill="1" applyBorder="1" applyAlignment="1">
      <alignment horizontal="center"/>
    </xf>
    <xf numFmtId="0" fontId="297" fillId="0" borderId="8" xfId="0" applyFont="1" applyBorder="1"/>
    <xf numFmtId="0" fontId="300" fillId="2" borderId="1" xfId="0" applyFont="1" applyFill="1" applyBorder="1" applyAlignment="1">
      <alignment horizontal="center" vertical="center"/>
    </xf>
    <xf numFmtId="0" fontId="300" fillId="2" borderId="4" xfId="0" applyFont="1" applyFill="1" applyBorder="1" applyAlignment="1">
      <alignment horizontal="center" vertical="center" wrapText="1"/>
    </xf>
    <xf numFmtId="0" fontId="300" fillId="2" borderId="4" xfId="0" applyFont="1" applyFill="1" applyBorder="1" applyAlignment="1">
      <alignment horizontal="center" vertical="center"/>
    </xf>
    <xf numFmtId="0" fontId="296" fillId="2" borderId="1" xfId="0" applyFont="1" applyFill="1" applyBorder="1" applyAlignment="1">
      <alignment horizontal="center"/>
    </xf>
    <xf numFmtId="164" fontId="296" fillId="0" borderId="1" xfId="0" applyNumberFormat="1" applyFont="1" applyBorder="1" applyAlignment="1">
      <alignment horizontal="center"/>
    </xf>
    <xf numFmtId="0" fontId="298" fillId="2" borderId="1" xfId="0" applyFont="1" applyFill="1" applyBorder="1" applyAlignment="1">
      <alignment horizontal="center"/>
    </xf>
    <xf numFmtId="0" fontId="300" fillId="2" borderId="4" xfId="1" applyFont="1" applyFill="1" applyBorder="1" applyAlignment="1">
      <alignment horizontal="center" wrapText="1"/>
    </xf>
    <xf numFmtId="0" fontId="297" fillId="0" borderId="10" xfId="1" applyFont="1" applyBorder="1"/>
    <xf numFmtId="2" fontId="300" fillId="3" borderId="1" xfId="1" applyNumberFormat="1" applyFont="1" applyFill="1" applyBorder="1" applyAlignment="1">
      <alignment horizontal="center"/>
    </xf>
    <xf numFmtId="0" fontId="297" fillId="0" borderId="3" xfId="1" applyFont="1" applyBorder="1"/>
    <xf numFmtId="0" fontId="300" fillId="2" borderId="1" xfId="1" applyFont="1" applyFill="1" applyBorder="1" applyAlignment="1">
      <alignment horizontal="center" vertical="center"/>
    </xf>
    <xf numFmtId="0" fontId="300" fillId="2" borderId="4" xfId="1" applyFont="1" applyFill="1" applyBorder="1" applyAlignment="1">
      <alignment horizontal="center" vertical="center" wrapText="1"/>
    </xf>
    <xf numFmtId="0" fontId="300" fillId="2" borderId="4" xfId="1" applyFont="1" applyFill="1" applyBorder="1" applyAlignment="1">
      <alignment horizontal="center" vertical="center"/>
    </xf>
    <xf numFmtId="0" fontId="296" fillId="2" borderId="1" xfId="1" applyFont="1" applyFill="1" applyBorder="1" applyAlignment="1">
      <alignment horizontal="center"/>
    </xf>
    <xf numFmtId="0" fontId="297" fillId="0" borderId="2" xfId="1" applyFont="1" applyBorder="1"/>
    <xf numFmtId="164" fontId="296" fillId="0" borderId="1" xfId="1" applyNumberFormat="1" applyFont="1" applyBorder="1" applyAlignment="1">
      <alignment horizontal="center"/>
    </xf>
    <xf numFmtId="0" fontId="298" fillId="2" borderId="1" xfId="1" applyFont="1" applyFill="1" applyBorder="1" applyAlignment="1">
      <alignment horizontal="center"/>
    </xf>
    <xf numFmtId="0" fontId="299" fillId="2" borderId="4" xfId="1" applyFont="1" applyFill="1" applyBorder="1" applyAlignment="1">
      <alignment horizontal="center" vertical="center"/>
    </xf>
    <xf numFmtId="0" fontId="297" fillId="0" borderId="6" xfId="1" applyFont="1" applyBorder="1"/>
    <xf numFmtId="0" fontId="299" fillId="2" borderId="1" xfId="1" applyFont="1" applyFill="1" applyBorder="1" applyAlignment="1">
      <alignment horizontal="center"/>
    </xf>
    <xf numFmtId="0" fontId="300" fillId="2" borderId="25" xfId="0" applyFont="1" applyFill="1" applyBorder="1" applyAlignment="1">
      <alignment horizontal="center" wrapText="1"/>
    </xf>
    <xf numFmtId="2" fontId="300" fillId="3" borderId="1" xfId="0" applyNumberFormat="1" applyFont="1" applyFill="1" applyBorder="1" applyAlignment="1">
      <alignment horizontal="center"/>
    </xf>
    <xf numFmtId="2" fontId="300" fillId="3" borderId="3" xfId="0" applyNumberFormat="1" applyFont="1" applyFill="1" applyBorder="1" applyAlignment="1">
      <alignment horizontal="center"/>
    </xf>
    <xf numFmtId="0" fontId="300" fillId="2" borderId="25" xfId="0" applyFont="1" applyFill="1" applyBorder="1" applyAlignment="1">
      <alignment horizontal="center" vertical="center"/>
    </xf>
    <xf numFmtId="0" fontId="300" fillId="2" borderId="3" xfId="0" applyFont="1" applyFill="1" applyBorder="1" applyAlignment="1">
      <alignment horizontal="center" vertical="center"/>
    </xf>
    <xf numFmtId="0" fontId="300" fillId="2" borderId="25" xfId="0" applyFont="1" applyFill="1" applyBorder="1" applyAlignment="1">
      <alignment horizontal="center" vertical="center" wrapText="1"/>
    </xf>
    <xf numFmtId="0" fontId="296" fillId="2" borderId="2" xfId="0" applyFont="1" applyFill="1" applyBorder="1" applyAlignment="1">
      <alignment horizontal="center"/>
    </xf>
    <xf numFmtId="0" fontId="296" fillId="2" borderId="3" xfId="0" applyFont="1" applyFill="1" applyBorder="1" applyAlignment="1">
      <alignment horizontal="center"/>
    </xf>
    <xf numFmtId="164" fontId="296" fillId="0" borderId="3" xfId="0" applyNumberFormat="1" applyFont="1" applyBorder="1" applyAlignment="1">
      <alignment horizontal="center"/>
    </xf>
    <xf numFmtId="0" fontId="298" fillId="2" borderId="2" xfId="0" applyFont="1" applyFill="1" applyBorder="1" applyAlignment="1">
      <alignment horizontal="center"/>
    </xf>
    <xf numFmtId="0" fontId="298" fillId="2" borderId="3" xfId="0" applyFont="1" applyFill="1" applyBorder="1" applyAlignment="1">
      <alignment horizontal="center"/>
    </xf>
    <xf numFmtId="0" fontId="299" fillId="2" borderId="6" xfId="0" applyFont="1" applyFill="1" applyBorder="1" applyAlignment="1">
      <alignment horizontal="center" vertical="center"/>
    </xf>
    <xf numFmtId="0" fontId="299" fillId="2" borderId="2" xfId="0" applyFont="1" applyFill="1" applyBorder="1" applyAlignment="1">
      <alignment horizontal="center"/>
    </xf>
    <xf numFmtId="0" fontId="299" fillId="2" borderId="3" xfId="0" applyFont="1" applyFill="1" applyBorder="1" applyAlignment="1">
      <alignment horizontal="center"/>
    </xf>
    <xf numFmtId="2" fontId="300" fillId="3" borderId="1" xfId="1" applyNumberFormat="1" applyFont="1" applyFill="1" applyBorder="1" applyAlignment="1" applyProtection="1">
      <alignment horizontal="center"/>
      <protection hidden="1"/>
    </xf>
    <xf numFmtId="0" fontId="297" fillId="0" borderId="3" xfId="1" applyFont="1" applyBorder="1" applyProtection="1">
      <protection hidden="1"/>
    </xf>
    <xf numFmtId="0" fontId="299" fillId="2" borderId="4" xfId="1" applyFont="1" applyFill="1" applyBorder="1" applyAlignment="1">
      <alignment horizontal="center" vertical="center" wrapText="1"/>
    </xf>
    <xf numFmtId="2" fontId="300" fillId="3" borderId="4" xfId="1" applyNumberFormat="1" applyFont="1" applyFill="1" applyBorder="1" applyAlignment="1">
      <alignment horizontal="center" vertical="center"/>
    </xf>
    <xf numFmtId="2" fontId="300" fillId="3" borderId="7" xfId="1" applyNumberFormat="1" applyFont="1" applyFill="1" applyBorder="1" applyAlignment="1">
      <alignment horizontal="center"/>
    </xf>
    <xf numFmtId="0" fontId="297" fillId="0" borderId="8" xfId="1" applyFont="1" applyBorder="1"/>
  </cellXfs>
  <cellStyles count="3">
    <cellStyle name="Обычный" xfId="0" builtinId="0"/>
    <cellStyle name="Обычный 2" xfId="1"/>
    <cellStyle name="Плохой" xfId="2" builtinId="2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35" filterMode="1"/>
  <dimension ref="A1:R587"/>
  <sheetViews>
    <sheetView topLeftCell="D13" zoomScale="110" zoomScaleNormal="110" workbookViewId="0">
      <selection activeCell="E119" sqref="E119"/>
    </sheetView>
  </sheetViews>
  <sheetFormatPr defaultRowHeight="15"/>
  <cols>
    <col min="4" max="5" width="13.85546875" bestFit="1" customWidth="1"/>
    <col min="6" max="6" width="10.42578125" customWidth="1"/>
    <col min="12" max="12" width="12" customWidth="1"/>
    <col min="13" max="13" width="11.42578125" customWidth="1"/>
    <col min="14" max="14" width="11.7109375" customWidth="1"/>
  </cols>
  <sheetData>
    <row r="1" spans="1:18" ht="15.75" thickBot="1">
      <c r="A1" s="488"/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488"/>
      <c r="N1" s="488"/>
      <c r="O1" s="488"/>
      <c r="P1" s="488"/>
      <c r="Q1" s="488"/>
      <c r="R1" s="488"/>
    </row>
    <row r="2" spans="1:18" ht="20.25">
      <c r="A2" s="488"/>
      <c r="B2" s="488"/>
      <c r="C2" s="483" t="s">
        <v>0</v>
      </c>
      <c r="D2" s="484"/>
      <c r="E2" s="484"/>
      <c r="F2" s="484"/>
      <c r="G2" s="484"/>
      <c r="H2" s="484"/>
      <c r="I2" s="484"/>
      <c r="J2" s="484"/>
      <c r="K2" s="484"/>
      <c r="L2" s="484"/>
      <c r="M2" s="484"/>
      <c r="N2" s="484"/>
      <c r="O2" s="485"/>
      <c r="P2" s="488"/>
      <c r="Q2" s="488"/>
      <c r="R2" s="488"/>
    </row>
    <row r="3" spans="1:18" ht="16.5">
      <c r="A3" s="488"/>
      <c r="B3" s="488"/>
      <c r="C3" s="462"/>
      <c r="D3" s="463"/>
      <c r="E3" s="463" t="s">
        <v>86</v>
      </c>
      <c r="F3" s="464"/>
      <c r="G3" s="463" t="s">
        <v>20</v>
      </c>
      <c r="H3" s="463"/>
      <c r="I3" s="463" t="s">
        <v>21</v>
      </c>
      <c r="J3" s="463"/>
      <c r="K3" s="463" t="s">
        <v>47</v>
      </c>
      <c r="L3" s="463"/>
      <c r="M3" s="463" t="s">
        <v>91</v>
      </c>
      <c r="N3" s="463"/>
      <c r="O3" s="468"/>
      <c r="P3" s="488"/>
      <c r="Q3" s="488"/>
      <c r="R3" s="488"/>
    </row>
    <row r="4" spans="1:18" ht="16.5">
      <c r="A4" s="488"/>
      <c r="B4" s="488"/>
      <c r="C4" s="462" t="s">
        <v>81</v>
      </c>
      <c r="D4" s="463"/>
      <c r="E4" s="458">
        <v>114</v>
      </c>
      <c r="F4" s="458"/>
      <c r="G4" s="458">
        <v>144</v>
      </c>
      <c r="H4" s="458"/>
      <c r="I4" s="458">
        <v>2152</v>
      </c>
      <c r="J4" s="458"/>
      <c r="K4" s="470">
        <f>I4/G4</f>
        <v>14.944444444444445</v>
      </c>
      <c r="L4" s="470"/>
      <c r="M4" s="470">
        <f>G4/E4</f>
        <v>1.263157894736842</v>
      </c>
      <c r="N4" s="470"/>
      <c r="O4" s="471"/>
      <c r="P4" s="488"/>
      <c r="Q4" s="488"/>
      <c r="R4" s="488"/>
    </row>
    <row r="5" spans="1:18" ht="16.5">
      <c r="A5" s="488"/>
      <c r="B5" s="488"/>
      <c r="C5" s="462" t="s">
        <v>82</v>
      </c>
      <c r="D5" s="463"/>
      <c r="E5" s="458">
        <v>114</v>
      </c>
      <c r="F5" s="458"/>
      <c r="G5" s="469">
        <f>E5*M4</f>
        <v>144</v>
      </c>
      <c r="H5" s="469"/>
      <c r="I5" s="469">
        <f>G5*K4</f>
        <v>2152</v>
      </c>
      <c r="J5" s="469"/>
      <c r="K5" s="470"/>
      <c r="L5" s="470"/>
      <c r="M5" s="470"/>
      <c r="N5" s="470"/>
      <c r="O5" s="471"/>
      <c r="P5" s="488"/>
      <c r="Q5" s="488"/>
      <c r="R5" s="488"/>
    </row>
    <row r="6" spans="1:18" ht="18">
      <c r="A6" s="488"/>
      <c r="B6" s="488"/>
      <c r="C6" s="465" t="s">
        <v>51</v>
      </c>
      <c r="D6" s="466"/>
      <c r="E6" s="466"/>
      <c r="F6" s="466"/>
      <c r="G6" s="466"/>
      <c r="H6" s="466"/>
      <c r="I6" s="466"/>
      <c r="J6" s="466"/>
      <c r="K6" s="466"/>
      <c r="L6" s="466"/>
      <c r="M6" s="466"/>
      <c r="N6" s="466"/>
      <c r="O6" s="467"/>
      <c r="P6" s="488"/>
      <c r="Q6" s="488"/>
      <c r="R6" s="488"/>
    </row>
    <row r="7" spans="1:18" ht="16.5">
      <c r="A7" s="488"/>
      <c r="B7" s="488"/>
      <c r="C7" s="472" t="s">
        <v>52</v>
      </c>
      <c r="D7" s="473"/>
      <c r="E7" s="473"/>
      <c r="F7" s="473"/>
      <c r="G7" s="473"/>
      <c r="H7" s="473"/>
      <c r="I7" s="473"/>
      <c r="J7" s="473" t="s">
        <v>53</v>
      </c>
      <c r="K7" s="473"/>
      <c r="L7" s="473"/>
      <c r="M7" s="473"/>
      <c r="N7" s="473"/>
      <c r="O7" s="474"/>
      <c r="P7" s="488"/>
      <c r="Q7" s="488"/>
      <c r="R7" s="488"/>
    </row>
    <row r="8" spans="1:18" ht="16.5">
      <c r="A8" s="488"/>
      <c r="B8" s="488"/>
      <c r="C8" s="472" t="s">
        <v>54</v>
      </c>
      <c r="D8" s="473"/>
      <c r="E8" s="473" t="s">
        <v>20</v>
      </c>
      <c r="F8" s="473"/>
      <c r="G8" s="473" t="s">
        <v>21</v>
      </c>
      <c r="H8" s="473"/>
      <c r="I8" s="473"/>
      <c r="J8" s="473" t="s">
        <v>83</v>
      </c>
      <c r="K8" s="473"/>
      <c r="L8" s="473" t="s">
        <v>20</v>
      </c>
      <c r="M8" s="473"/>
      <c r="N8" s="473" t="s">
        <v>21</v>
      </c>
      <c r="O8" s="474"/>
      <c r="P8" s="488"/>
      <c r="Q8" s="488"/>
      <c r="R8" s="488"/>
    </row>
    <row r="9" spans="1:18" ht="17.25">
      <c r="A9" s="488"/>
      <c r="B9" s="488"/>
      <c r="C9" s="453">
        <v>1</v>
      </c>
      <c r="D9" s="461"/>
      <c r="E9" s="458">
        <v>45</v>
      </c>
      <c r="F9" s="458"/>
      <c r="G9" s="450">
        <f>E9*K4</f>
        <v>672.5</v>
      </c>
      <c r="H9" s="450"/>
      <c r="I9" s="450"/>
      <c r="J9" s="460">
        <v>1</v>
      </c>
      <c r="K9" s="460"/>
      <c r="L9" s="460">
        <v>15</v>
      </c>
      <c r="M9" s="460"/>
      <c r="N9" s="450">
        <f>L9*K4</f>
        <v>224.16666666666666</v>
      </c>
      <c r="O9" s="450"/>
      <c r="P9" s="488"/>
      <c r="Q9" s="488"/>
      <c r="R9" s="488"/>
    </row>
    <row r="10" spans="1:18" ht="17.25">
      <c r="A10" s="488"/>
      <c r="B10" s="488"/>
      <c r="C10" s="453">
        <v>2</v>
      </c>
      <c r="D10" s="461"/>
      <c r="E10" s="458">
        <v>40</v>
      </c>
      <c r="F10" s="458"/>
      <c r="G10" s="450">
        <f>E10*K4</f>
        <v>597.77777777777783</v>
      </c>
      <c r="H10" s="450"/>
      <c r="I10" s="450"/>
      <c r="J10" s="460">
        <v>2</v>
      </c>
      <c r="K10" s="460"/>
      <c r="L10" s="460">
        <v>35</v>
      </c>
      <c r="M10" s="460"/>
      <c r="N10" s="450">
        <f>L10*K4</f>
        <v>523.05555555555554</v>
      </c>
      <c r="O10" s="450"/>
      <c r="P10" s="488"/>
      <c r="Q10" s="488"/>
      <c r="R10" s="488"/>
    </row>
    <row r="11" spans="1:18" ht="17.25">
      <c r="A11" s="488"/>
      <c r="B11" s="488"/>
      <c r="C11" s="453">
        <v>3</v>
      </c>
      <c r="D11" s="461"/>
      <c r="E11" s="458">
        <v>40</v>
      </c>
      <c r="F11" s="458"/>
      <c r="G11" s="450">
        <f>E11*K4</f>
        <v>597.77777777777783</v>
      </c>
      <c r="H11" s="450"/>
      <c r="I11" s="450"/>
      <c r="J11" s="460">
        <v>3</v>
      </c>
      <c r="K11" s="460"/>
      <c r="L11" s="460">
        <v>35</v>
      </c>
      <c r="M11" s="460"/>
      <c r="N11" s="450">
        <f>L11*K4</f>
        <v>523.05555555555554</v>
      </c>
      <c r="O11" s="450"/>
      <c r="P11" s="488"/>
      <c r="Q11" s="488"/>
      <c r="R11" s="488"/>
    </row>
    <row r="12" spans="1:18" ht="17.25">
      <c r="A12" s="488"/>
      <c r="B12" s="488"/>
      <c r="C12" s="453">
        <v>4</v>
      </c>
      <c r="D12" s="461"/>
      <c r="E12" s="458">
        <v>13</v>
      </c>
      <c r="F12" s="458"/>
      <c r="G12" s="450">
        <f>E12*K4</f>
        <v>194.27777777777777</v>
      </c>
      <c r="H12" s="450"/>
      <c r="I12" s="450"/>
      <c r="J12" s="460">
        <v>4</v>
      </c>
      <c r="K12" s="460"/>
      <c r="L12" s="460">
        <v>35</v>
      </c>
      <c r="M12" s="460"/>
      <c r="N12" s="450">
        <f>L12*K4</f>
        <v>523.05555555555554</v>
      </c>
      <c r="O12" s="450"/>
      <c r="P12" s="488"/>
      <c r="Q12" s="488"/>
      <c r="R12" s="488"/>
    </row>
    <row r="13" spans="1:18" ht="17.25">
      <c r="A13" s="488"/>
      <c r="B13" s="488"/>
      <c r="C13" s="453">
        <v>5</v>
      </c>
      <c r="D13" s="461"/>
      <c r="E13" s="458">
        <v>0</v>
      </c>
      <c r="F13" s="458"/>
      <c r="G13" s="450">
        <f>E13*K4</f>
        <v>0</v>
      </c>
      <c r="H13" s="450"/>
      <c r="I13" s="450"/>
      <c r="J13" s="460"/>
      <c r="K13" s="460"/>
      <c r="L13" s="460">
        <v>24</v>
      </c>
      <c r="M13" s="460"/>
      <c r="N13" s="450">
        <f>L13*K4</f>
        <v>358.66666666666669</v>
      </c>
      <c r="O13" s="450"/>
      <c r="P13" s="488"/>
      <c r="Q13" s="488"/>
      <c r="R13" s="488"/>
    </row>
    <row r="14" spans="1:18" ht="17.25">
      <c r="A14" s="488"/>
      <c r="B14" s="488"/>
      <c r="C14" s="453">
        <v>6</v>
      </c>
      <c r="D14" s="461"/>
      <c r="E14" s="458">
        <v>0</v>
      </c>
      <c r="F14" s="458"/>
      <c r="G14" s="450">
        <f>E14*K4</f>
        <v>0</v>
      </c>
      <c r="H14" s="450"/>
      <c r="I14" s="450"/>
      <c r="J14" s="460"/>
      <c r="K14" s="460"/>
      <c r="L14" s="460">
        <v>0</v>
      </c>
      <c r="M14" s="460"/>
      <c r="N14" s="450">
        <f>L14*K4</f>
        <v>0</v>
      </c>
      <c r="O14" s="450"/>
      <c r="P14" s="488"/>
      <c r="Q14" s="488"/>
      <c r="R14" s="488"/>
    </row>
    <row r="15" spans="1:18" ht="17.25">
      <c r="A15" s="488"/>
      <c r="B15" s="488"/>
      <c r="C15" s="453">
        <v>7</v>
      </c>
      <c r="D15" s="461"/>
      <c r="E15" s="458">
        <v>0</v>
      </c>
      <c r="F15" s="458"/>
      <c r="G15" s="450">
        <f>E15*K4</f>
        <v>0</v>
      </c>
      <c r="H15" s="450"/>
      <c r="I15" s="450"/>
      <c r="J15" s="460"/>
      <c r="K15" s="460"/>
      <c r="L15" s="460">
        <v>0</v>
      </c>
      <c r="M15" s="460"/>
      <c r="N15" s="450">
        <f>L15*K4</f>
        <v>0</v>
      </c>
      <c r="O15" s="450"/>
      <c r="P15" s="488"/>
      <c r="Q15" s="488"/>
      <c r="R15" s="488"/>
    </row>
    <row r="16" spans="1:18" ht="17.25">
      <c r="A16" s="488"/>
      <c r="B16" s="488"/>
      <c r="C16" s="453">
        <v>8</v>
      </c>
      <c r="D16" s="461"/>
      <c r="E16" s="458">
        <v>0</v>
      </c>
      <c r="F16" s="458"/>
      <c r="G16" s="450">
        <f>E16*K4</f>
        <v>0</v>
      </c>
      <c r="H16" s="450"/>
      <c r="I16" s="450"/>
      <c r="J16" s="460"/>
      <c r="K16" s="460"/>
      <c r="L16" s="460">
        <v>0</v>
      </c>
      <c r="M16" s="460"/>
      <c r="N16" s="450">
        <f>L16*K4</f>
        <v>0</v>
      </c>
      <c r="O16" s="450"/>
      <c r="P16" s="488"/>
      <c r="Q16" s="488"/>
      <c r="R16" s="488"/>
    </row>
    <row r="17" spans="1:18" ht="17.25">
      <c r="A17" s="488"/>
      <c r="B17" s="488"/>
      <c r="C17" s="453">
        <v>9</v>
      </c>
      <c r="D17" s="461"/>
      <c r="E17" s="458">
        <v>0</v>
      </c>
      <c r="F17" s="458"/>
      <c r="G17" s="450">
        <f>E17*K4</f>
        <v>0</v>
      </c>
      <c r="H17" s="450"/>
      <c r="I17" s="450"/>
      <c r="J17" s="460"/>
      <c r="K17" s="460"/>
      <c r="L17" s="460">
        <v>0</v>
      </c>
      <c r="M17" s="460"/>
      <c r="N17" s="450">
        <f>L17*K4</f>
        <v>0</v>
      </c>
      <c r="O17" s="450"/>
      <c r="P17" s="488"/>
      <c r="Q17" s="488"/>
      <c r="R17" s="488"/>
    </row>
    <row r="18" spans="1:18" ht="17.25">
      <c r="A18" s="488"/>
      <c r="B18" s="488"/>
      <c r="C18" s="453">
        <v>10</v>
      </c>
      <c r="D18" s="461"/>
      <c r="E18" s="458">
        <v>0</v>
      </c>
      <c r="F18" s="458"/>
      <c r="G18" s="450">
        <f>E18*K4</f>
        <v>0</v>
      </c>
      <c r="H18" s="450"/>
      <c r="I18" s="450"/>
      <c r="J18" s="460"/>
      <c r="K18" s="460"/>
      <c r="L18" s="460">
        <v>0</v>
      </c>
      <c r="M18" s="460"/>
      <c r="N18" s="450">
        <f>L18*K4</f>
        <v>0</v>
      </c>
      <c r="O18" s="450"/>
      <c r="P18" s="488"/>
      <c r="Q18" s="488"/>
      <c r="R18" s="488"/>
    </row>
    <row r="19" spans="1:18" ht="17.25">
      <c r="A19" s="488"/>
      <c r="B19" s="488"/>
      <c r="C19" s="453">
        <v>11</v>
      </c>
      <c r="D19" s="454"/>
      <c r="E19" s="458">
        <v>0</v>
      </c>
      <c r="F19" s="458"/>
      <c r="G19" s="450">
        <f>E19*K4</f>
        <v>0</v>
      </c>
      <c r="H19" s="450"/>
      <c r="I19" s="450"/>
      <c r="J19" s="460"/>
      <c r="K19" s="460"/>
      <c r="L19" s="460">
        <v>0</v>
      </c>
      <c r="M19" s="460"/>
      <c r="N19" s="450">
        <f>L19*K4</f>
        <v>0</v>
      </c>
      <c r="O19" s="450"/>
      <c r="P19" s="488"/>
      <c r="Q19" s="488"/>
      <c r="R19" s="488"/>
    </row>
    <row r="20" spans="1:18" ht="17.25">
      <c r="A20" s="488"/>
      <c r="B20" s="488"/>
      <c r="C20" s="453">
        <v>12</v>
      </c>
      <c r="D20" s="461"/>
      <c r="E20" s="458">
        <v>0</v>
      </c>
      <c r="F20" s="458"/>
      <c r="G20" s="450">
        <f>E20*K4</f>
        <v>0</v>
      </c>
      <c r="H20" s="450"/>
      <c r="I20" s="450"/>
      <c r="J20" s="460"/>
      <c r="K20" s="460"/>
      <c r="L20" s="460">
        <v>0</v>
      </c>
      <c r="M20" s="460"/>
      <c r="N20" s="450">
        <f>L20*K4</f>
        <v>0</v>
      </c>
      <c r="O20" s="450"/>
      <c r="P20" s="488"/>
      <c r="Q20" s="488"/>
      <c r="R20" s="488"/>
    </row>
    <row r="21" spans="1:18" ht="17.25">
      <c r="A21" s="488"/>
      <c r="B21" s="488"/>
      <c r="C21" s="453" t="s">
        <v>53</v>
      </c>
      <c r="D21" s="454"/>
      <c r="E21" s="458">
        <v>0</v>
      </c>
      <c r="F21" s="458"/>
      <c r="G21" s="450">
        <f>E21*K4</f>
        <v>0</v>
      </c>
      <c r="H21" s="450"/>
      <c r="I21" s="450"/>
      <c r="J21" s="460"/>
      <c r="K21" s="460"/>
      <c r="L21" s="460">
        <v>0</v>
      </c>
      <c r="M21" s="460"/>
      <c r="N21" s="450">
        <f>L21*K4</f>
        <v>0</v>
      </c>
      <c r="O21" s="450"/>
      <c r="P21" s="488"/>
      <c r="Q21" s="488"/>
      <c r="R21" s="488"/>
    </row>
    <row r="22" spans="1:18" ht="17.25">
      <c r="A22" s="488"/>
      <c r="B22" s="488"/>
      <c r="C22" s="455" t="s">
        <v>59</v>
      </c>
      <c r="D22" s="456"/>
      <c r="E22" s="459">
        <f>G5-E9-E10-E11-E12-E13-E14-E15-E16-E17-E18-E19-E20-E21</f>
        <v>6</v>
      </c>
      <c r="F22" s="459"/>
      <c r="G22" s="459">
        <f>I5-G9-G10-G11-G12-G13-G14-G15-G16-G17-G18-G19-G20-G21</f>
        <v>89.666666666666572</v>
      </c>
      <c r="H22" s="459"/>
      <c r="I22" s="459"/>
      <c r="J22" s="457" t="s">
        <v>59</v>
      </c>
      <c r="K22" s="456"/>
      <c r="L22" s="451">
        <f>G5-L9-L10-L11-L12-L13-L14-L15-L16-L17-L18-L19-L20-L21</f>
        <v>0</v>
      </c>
      <c r="M22" s="451"/>
      <c r="N22" s="451">
        <f>I5-N9-N10-N11-N12-N13-N14-N15-N16-N17-N18-N19-N20-N21</f>
        <v>5.6843418860808015E-14</v>
      </c>
      <c r="O22" s="452"/>
      <c r="P22" s="488"/>
      <c r="Q22" s="488"/>
      <c r="R22" s="488"/>
    </row>
    <row r="23" spans="1:18" ht="17.25">
      <c r="A23" s="488"/>
      <c r="B23" s="488"/>
      <c r="C23" s="455" t="s">
        <v>84</v>
      </c>
      <c r="D23" s="456"/>
      <c r="E23" s="459">
        <f>SUM(E9:F21)</f>
        <v>138</v>
      </c>
      <c r="F23" s="459"/>
      <c r="G23" s="459">
        <f>SUM(G9:I21)</f>
        <v>2062.3333333333335</v>
      </c>
      <c r="H23" s="459"/>
      <c r="I23" s="459"/>
      <c r="J23" s="457" t="s">
        <v>84</v>
      </c>
      <c r="K23" s="456"/>
      <c r="L23" s="451">
        <f>SUM(L9:M21)</f>
        <v>144</v>
      </c>
      <c r="M23" s="451"/>
      <c r="N23" s="451">
        <f>SUM(N9:O21)</f>
        <v>2152</v>
      </c>
      <c r="O23" s="452"/>
      <c r="P23" s="488"/>
      <c r="Q23" s="488"/>
      <c r="R23" s="488"/>
    </row>
    <row r="24" spans="1:18" ht="16.5">
      <c r="A24" s="488"/>
      <c r="B24" s="488"/>
      <c r="C24" s="486" t="s">
        <v>14</v>
      </c>
      <c r="D24" s="475" t="s">
        <v>1</v>
      </c>
      <c r="E24" s="475" t="s">
        <v>2</v>
      </c>
      <c r="F24" s="476" t="s">
        <v>3</v>
      </c>
      <c r="G24" s="476"/>
      <c r="H24" s="476"/>
      <c r="I24" s="476"/>
      <c r="J24" s="476"/>
      <c r="K24" s="476"/>
      <c r="L24" s="481" t="s">
        <v>85</v>
      </c>
      <c r="M24" s="481"/>
      <c r="N24" s="481"/>
      <c r="O24" s="482" t="s">
        <v>75</v>
      </c>
      <c r="P24" s="488"/>
      <c r="Q24" s="488"/>
      <c r="R24" s="488"/>
    </row>
    <row r="25" spans="1:18" ht="15" hidden="1" customHeight="1">
      <c r="A25" s="488"/>
      <c r="B25" s="488"/>
      <c r="C25" s="486"/>
      <c r="D25" s="475"/>
      <c r="E25" s="475"/>
      <c r="F25" s="476" t="s">
        <v>89</v>
      </c>
      <c r="G25" s="476"/>
      <c r="H25" s="476" t="s">
        <v>88</v>
      </c>
      <c r="I25" s="476"/>
      <c r="J25" s="476" t="s">
        <v>87</v>
      </c>
      <c r="K25" s="476"/>
      <c r="L25" s="96" t="s">
        <v>90</v>
      </c>
      <c r="M25" s="96" t="s">
        <v>9</v>
      </c>
      <c r="N25" s="96" t="s">
        <v>10</v>
      </c>
      <c r="O25" s="482"/>
      <c r="P25" s="488"/>
      <c r="Q25" s="488"/>
      <c r="R25" s="488"/>
    </row>
    <row r="26" spans="1:18" ht="16.5" hidden="1">
      <c r="A26" s="488"/>
      <c r="B26" s="488"/>
      <c r="C26" s="91" t="s">
        <v>76</v>
      </c>
      <c r="D26" s="92" t="str">
        <f>'REN80_SVO 04_2026'!A4</f>
        <v>REN</v>
      </c>
      <c r="E26" s="92" t="str">
        <f>'REN80_SVO 04_2026'!B4</f>
        <v>SVO</v>
      </c>
      <c r="F26" s="477">
        <f>'REN80_SVO 04_2026'!C4</f>
        <v>0.19000849935400826</v>
      </c>
      <c r="G26" s="477"/>
      <c r="H26" s="477">
        <f>'REN80_SVO 04_2026'!E4</f>
        <v>12.273041877895915</v>
      </c>
      <c r="I26" s="477"/>
      <c r="J26" s="477">
        <f>'REN80_SVO 04_2026'!G4</f>
        <v>3.857883444776772</v>
      </c>
      <c r="K26" s="477"/>
      <c r="L26" s="93">
        <f>O26*F26</f>
        <v>27.931249405039214</v>
      </c>
      <c r="M26" s="93">
        <f>L26*H26</f>
        <v>342.80139365000161</v>
      </c>
      <c r="N26" s="93">
        <f>O26*J26</f>
        <v>567.10886638218551</v>
      </c>
      <c r="O26" s="94">
        <v>147</v>
      </c>
      <c r="P26" s="488"/>
      <c r="Q26" s="488"/>
      <c r="R26" s="488"/>
    </row>
    <row r="27" spans="1:18" ht="16.5" hidden="1">
      <c r="A27" s="488"/>
      <c r="B27" s="488"/>
      <c r="C27" s="91" t="s">
        <v>77</v>
      </c>
      <c r="D27" s="92" t="str">
        <f>'REN82_SVO 03_2024'!A4</f>
        <v>REN</v>
      </c>
      <c r="E27" s="92" t="str">
        <f>'REN82_SVO 03_2024'!B4</f>
        <v>SVO</v>
      </c>
      <c r="F27" s="478">
        <f>'REN82_SVO 03_2024'!C4</f>
        <v>0.22075449083422988</v>
      </c>
      <c r="G27" s="478"/>
      <c r="H27" s="478">
        <f>'REN82_SVO 03_2024'!E4</f>
        <v>13.372258611038651</v>
      </c>
      <c r="I27" s="478"/>
      <c r="J27" s="478">
        <f>'REN82_SVO 03_2024'!G4</f>
        <v>1.76558386178663</v>
      </c>
      <c r="K27" s="478"/>
      <c r="L27" s="93">
        <f>O27*F27</f>
        <v>43.709389185177514</v>
      </c>
      <c r="M27" s="93">
        <f>L27*H27</f>
        <v>584.49325591472973</v>
      </c>
      <c r="N27" s="93">
        <f>O27*J27</f>
        <v>349.58560463375272</v>
      </c>
      <c r="O27" s="94">
        <v>198</v>
      </c>
      <c r="P27" s="488"/>
      <c r="Q27" s="488"/>
      <c r="R27" s="488"/>
    </row>
    <row r="28" spans="1:18" ht="16.5" hidden="1">
      <c r="A28" s="488"/>
      <c r="B28" s="488"/>
      <c r="C28" s="91" t="s">
        <v>78</v>
      </c>
      <c r="D28" s="92" t="str">
        <f>'REN78_SVO 04_2026'!A4</f>
        <v>REN</v>
      </c>
      <c r="E28" s="92" t="str">
        <f>'REN78_SVO 04_2026'!B4</f>
        <v>SVO</v>
      </c>
      <c r="F28" s="477">
        <f>'REN78_SVO 04_2026'!C4</f>
        <v>0.21208064906902349</v>
      </c>
      <c r="G28" s="477"/>
      <c r="H28" s="477">
        <f>'REN78_SVO 04_2026'!E4</f>
        <v>13.124052812841676</v>
      </c>
      <c r="I28" s="477"/>
      <c r="J28" s="477">
        <f>'REN78_SVO 04_2026'!G4</f>
        <v>3.8342713830420987</v>
      </c>
      <c r="K28" s="477"/>
      <c r="L28" s="93">
        <f t="shared" ref="L28:L35" si="0">O28*F28</f>
        <v>28.206726326180124</v>
      </c>
      <c r="M28" s="93">
        <f t="shared" ref="M28:M35" si="1">L28*H28</f>
        <v>370.18656598215961</v>
      </c>
      <c r="N28" s="93">
        <f t="shared" ref="N28:N35" si="2">O28*J28</f>
        <v>509.95809394459911</v>
      </c>
      <c r="O28" s="94">
        <v>133</v>
      </c>
      <c r="P28" s="488"/>
      <c r="Q28" s="488"/>
      <c r="R28" s="488"/>
    </row>
    <row r="29" spans="1:18" ht="16.5" hidden="1">
      <c r="A29" s="488"/>
      <c r="B29" s="488"/>
      <c r="C29" s="91"/>
      <c r="D29" s="92" t="str">
        <f>'REN_LED 07_2026'!A4</f>
        <v>REN</v>
      </c>
      <c r="E29" s="92" t="str">
        <f>'REN_LED 07_2026'!B4</f>
        <v>LED</v>
      </c>
      <c r="F29" s="478">
        <f>'REN_LED 07_2026'!C4</f>
        <v>0.39859066779438379</v>
      </c>
      <c r="G29" s="478"/>
      <c r="H29" s="478">
        <f>'REN_LED 07_2026'!E4</f>
        <v>13.584611846856104</v>
      </c>
      <c r="I29" s="478"/>
      <c r="J29" s="478">
        <f>'REN_LED 07_2026'!G4</f>
        <v>2.0559171387638364</v>
      </c>
      <c r="K29" s="478"/>
      <c r="L29" s="93">
        <f t="shared" si="0"/>
        <v>71.746320202989082</v>
      </c>
      <c r="M29" s="93">
        <f t="shared" si="1"/>
        <v>974.64591139785693</v>
      </c>
      <c r="N29" s="93">
        <f t="shared" si="2"/>
        <v>370.06508497749053</v>
      </c>
      <c r="O29" s="94">
        <v>180</v>
      </c>
      <c r="P29" s="488"/>
      <c r="Q29" s="488"/>
      <c r="R29" s="488"/>
    </row>
    <row r="30" spans="1:18" ht="16.5" hidden="1">
      <c r="A30" s="488"/>
      <c r="B30" s="488"/>
      <c r="C30" s="91"/>
      <c r="D30" s="92" t="str">
        <f>'REN_AER 07_2026'!A4</f>
        <v>REN</v>
      </c>
      <c r="E30" s="92" t="str">
        <f>'REN_AER 07_2026'!B4</f>
        <v>AER</v>
      </c>
      <c r="F30" s="478">
        <f>'REN_AER 07_2026'!C4</f>
        <v>0.48006772363272554</v>
      </c>
      <c r="G30" s="478"/>
      <c r="H30" s="478">
        <f>'REN_AER 07_2026'!E4</f>
        <v>12.290491041472505</v>
      </c>
      <c r="I30" s="478"/>
      <c r="J30" s="478">
        <f>'REN_AER 07_2026'!G4</f>
        <v>2.2280069793731583</v>
      </c>
      <c r="K30" s="478"/>
      <c r="L30" s="93">
        <f t="shared" si="0"/>
        <v>100.33415423923964</v>
      </c>
      <c r="M30" s="93">
        <f t="shared" si="1"/>
        <v>1233.1560238310954</v>
      </c>
      <c r="N30" s="93">
        <f t="shared" si="2"/>
        <v>465.6534586889901</v>
      </c>
      <c r="O30" s="94">
        <v>209</v>
      </c>
      <c r="P30" s="488"/>
      <c r="Q30" s="488"/>
      <c r="R30" s="488"/>
    </row>
    <row r="31" spans="1:18" ht="16.5" hidden="1">
      <c r="A31" s="488"/>
      <c r="B31" s="488"/>
      <c r="C31" s="91"/>
      <c r="D31" s="92" t="str">
        <f>'REN_MCX 10_2024'!A4</f>
        <v>REN</v>
      </c>
      <c r="E31" s="92" t="str">
        <f>'REN_MCX 10_2024'!B4</f>
        <v>MCX</v>
      </c>
      <c r="F31" s="478">
        <f>'REN_MCX 10_2024'!C4</f>
        <v>0.68312898851811177</v>
      </c>
      <c r="G31" s="478"/>
      <c r="H31" s="478">
        <f>'REN_MCX 10_2024'!E4</f>
        <v>10.545907559002416</v>
      </c>
      <c r="I31" s="478"/>
      <c r="J31" s="478">
        <f>'REN_MCX 10_2024'!G4</f>
        <v>1.371263802867291</v>
      </c>
      <c r="K31" s="478"/>
      <c r="L31" s="93">
        <f t="shared" si="0"/>
        <v>67.629769863293063</v>
      </c>
      <c r="M31" s="93">
        <f t="shared" si="1"/>
        <v>713.21730121489611</v>
      </c>
      <c r="N31" s="93">
        <f t="shared" si="2"/>
        <v>135.7551164838618</v>
      </c>
      <c r="O31" s="94">
        <v>99</v>
      </c>
      <c r="P31" s="488"/>
      <c r="Q31" s="488"/>
      <c r="R31" s="488"/>
    </row>
    <row r="32" spans="1:18" ht="16.5" hidden="1">
      <c r="A32" s="488"/>
      <c r="B32" s="488"/>
      <c r="C32" s="91"/>
      <c r="D32" s="92" t="str">
        <f>'REN_MRV 03_2025'!A4</f>
        <v>REN</v>
      </c>
      <c r="E32" s="92" t="str">
        <f>'REN_MRV 03_2025'!B4</f>
        <v>MRV</v>
      </c>
      <c r="F32" s="478">
        <f>'REN_MRV 03_2025'!C4</f>
        <v>0.9139620504106486</v>
      </c>
      <c r="G32" s="478"/>
      <c r="H32" s="478">
        <f>'REN_MRV 03_2025'!E4</f>
        <v>11.768496296634273</v>
      </c>
      <c r="I32" s="478"/>
      <c r="J32" s="478">
        <f>'REN_MRV 03_2025'!G4</f>
        <v>0.79722458227131121</v>
      </c>
      <c r="K32" s="478"/>
      <c r="L32" s="93">
        <f t="shared" si="0"/>
        <v>59.407533276692156</v>
      </c>
      <c r="M32" s="93">
        <f t="shared" si="1"/>
        <v>699.13733535892902</v>
      </c>
      <c r="N32" s="93">
        <f t="shared" si="2"/>
        <v>51.819597847635229</v>
      </c>
      <c r="O32" s="94">
        <v>65</v>
      </c>
      <c r="P32" s="488"/>
      <c r="Q32" s="488"/>
      <c r="R32" s="488"/>
    </row>
    <row r="33" spans="1:18" ht="16.5" hidden="1">
      <c r="A33" s="488"/>
      <c r="B33" s="488"/>
      <c r="C33" s="91"/>
      <c r="D33" s="92" t="str">
        <f>'REN_KGD 10_2025'!A4</f>
        <v>REN</v>
      </c>
      <c r="E33" s="92" t="str">
        <f>'REN_KGD 10_2025'!B4</f>
        <v>KGD</v>
      </c>
      <c r="F33" s="478">
        <f>'REN_KGD 10_2025'!C4</f>
        <v>0.67022433094695677</v>
      </c>
      <c r="G33" s="478"/>
      <c r="H33" s="478">
        <f>'REN_KGD 10_2025'!E4</f>
        <v>12.381970824087189</v>
      </c>
      <c r="I33" s="478"/>
      <c r="J33" s="478">
        <f>'REN_KGD 10_2025'!G4</f>
        <v>0.69377057981698331</v>
      </c>
      <c r="K33" s="478"/>
      <c r="L33" s="93">
        <f t="shared" si="0"/>
        <v>115.27858492287656</v>
      </c>
      <c r="M33" s="93">
        <f t="shared" si="1"/>
        <v>1427.3760751571149</v>
      </c>
      <c r="N33" s="93">
        <f t="shared" si="2"/>
        <v>119.32853972852114</v>
      </c>
      <c r="O33" s="94">
        <v>172</v>
      </c>
      <c r="P33" s="488"/>
      <c r="Q33" s="488"/>
      <c r="R33" s="488"/>
    </row>
    <row r="34" spans="1:18" ht="16.5" hidden="1">
      <c r="A34" s="488"/>
      <c r="B34" s="488"/>
      <c r="C34" s="91"/>
      <c r="D34" s="92" t="str">
        <f>'REN_LBD 05_2024'!A4</f>
        <v>REN</v>
      </c>
      <c r="E34" s="92" t="str">
        <f>'REN_LBD 05_2024'!B4</f>
        <v>LBD</v>
      </c>
      <c r="F34" s="478">
        <f>'REN_LBD 05_2024'!C4</f>
        <v>0.90057232349735628</v>
      </c>
      <c r="G34" s="478"/>
      <c r="H34" s="478">
        <f>'REN_LBD 05_2024'!E4</f>
        <v>15.680858803986709</v>
      </c>
      <c r="I34" s="478"/>
      <c r="J34" s="478">
        <f>'REN_LBD 05_2024'!G4</f>
        <v>1.880901410524189</v>
      </c>
      <c r="K34" s="478"/>
      <c r="L34" s="93">
        <f t="shared" si="0"/>
        <v>124.27898064263516</v>
      </c>
      <c r="M34" s="93">
        <f t="shared" si="1"/>
        <v>1948.8011477605594</v>
      </c>
      <c r="N34" s="93">
        <f t="shared" si="2"/>
        <v>259.56439465233808</v>
      </c>
      <c r="O34" s="94">
        <v>138</v>
      </c>
      <c r="P34" s="488"/>
      <c r="Q34" s="488"/>
      <c r="R34" s="488"/>
    </row>
    <row r="35" spans="1:18" ht="16.5" hidden="1">
      <c r="A35" s="488"/>
      <c r="B35" s="488"/>
      <c r="C35" s="91"/>
      <c r="D35" s="92" t="str">
        <f>'REN_DYU 05_2024'!A4</f>
        <v>REN</v>
      </c>
      <c r="E35" s="92" t="str">
        <f>'REN_DYU 05_2024'!B4</f>
        <v>DYU</v>
      </c>
      <c r="F35" s="478">
        <f>'REN_DYU 05_2024'!C4</f>
        <v>0.91173116756281047</v>
      </c>
      <c r="G35" s="478"/>
      <c r="H35" s="478">
        <f>'REN_DYU 05_2024'!E4</f>
        <v>15.50598093889233</v>
      </c>
      <c r="I35" s="478"/>
      <c r="J35" s="478">
        <f>'REN_DYU 05_2024'!G4</f>
        <v>3.4263236903956984</v>
      </c>
      <c r="K35" s="478"/>
      <c r="L35" s="93">
        <f t="shared" si="0"/>
        <v>130.3775569614819</v>
      </c>
      <c r="M35" s="93">
        <f t="shared" si="1"/>
        <v>2021.6319131040873</v>
      </c>
      <c r="N35" s="93">
        <f t="shared" si="2"/>
        <v>489.96428772658487</v>
      </c>
      <c r="O35" s="94">
        <v>143</v>
      </c>
      <c r="P35" s="488"/>
      <c r="Q35" s="488"/>
      <c r="R35" s="488"/>
    </row>
    <row r="36" spans="1:18" ht="16.5" hidden="1">
      <c r="A36" s="488"/>
      <c r="B36" s="488"/>
      <c r="C36" s="91"/>
      <c r="D36" s="92" t="str">
        <f>'OSS_UFA 03_2024'!A4</f>
        <v>OSS</v>
      </c>
      <c r="E36" s="92" t="str">
        <f>'OSS_UFA 03_2024'!B4</f>
        <v>UFA</v>
      </c>
      <c r="F36" s="478">
        <f>'OSS_UFA 03_2024'!C4</f>
        <v>0.87975851117595893</v>
      </c>
      <c r="G36" s="478"/>
      <c r="H36" s="478">
        <f>'OSS_UFA 03_2024'!E4</f>
        <v>15.933204163430357</v>
      </c>
      <c r="I36" s="478"/>
      <c r="J36" s="478">
        <f>'OSS_UFA 03_2024'!G4</f>
        <v>1.8411709894721879</v>
      </c>
      <c r="K36" s="478"/>
      <c r="L36" s="93">
        <f t="shared" ref="L36:L43" si="3">O36*F36</f>
        <v>157.47677350049665</v>
      </c>
      <c r="M36" s="93">
        <f t="shared" ref="M36:M43" si="4">L36*H36</f>
        <v>2509.1095831816924</v>
      </c>
      <c r="N36" s="93">
        <f t="shared" ref="N36:N43" si="5">O36*J36</f>
        <v>329.56960711552165</v>
      </c>
      <c r="O36" s="94">
        <v>179</v>
      </c>
      <c r="P36" s="488"/>
      <c r="Q36" s="488"/>
      <c r="R36" s="488"/>
    </row>
    <row r="37" spans="1:18" ht="16.5" hidden="1">
      <c r="A37" s="488"/>
      <c r="B37" s="488"/>
      <c r="C37" s="91"/>
      <c r="D37" s="92" t="str">
        <f>'OSS_TJM 07_2026'!A4</f>
        <v>OSS</v>
      </c>
      <c r="E37" s="92" t="str">
        <f>'OSS_TJM 07_2026'!B4</f>
        <v>TJM</v>
      </c>
      <c r="F37" s="478">
        <f>'OSS_TJM 07_2026'!C4</f>
        <v>0.62622549019607843</v>
      </c>
      <c r="G37" s="478"/>
      <c r="H37" s="478">
        <f>'OSS_TJM 07_2026'!E4</f>
        <v>15.468201754385966</v>
      </c>
      <c r="I37" s="478"/>
      <c r="J37" s="478">
        <f>'OSS_TJM 07_2026'!G4</f>
        <v>2.6084881320949433</v>
      </c>
      <c r="K37" s="478"/>
      <c r="L37" s="93">
        <f t="shared" si="3"/>
        <v>115.8517156862745</v>
      </c>
      <c r="M37" s="93">
        <f t="shared" si="4"/>
        <v>1792.0177118270553</v>
      </c>
      <c r="N37" s="93">
        <f t="shared" si="5"/>
        <v>482.57030443756452</v>
      </c>
      <c r="O37" s="94">
        <v>185</v>
      </c>
      <c r="P37" s="488"/>
      <c r="Q37" s="488"/>
      <c r="R37" s="488"/>
    </row>
    <row r="38" spans="1:18" ht="16.5" hidden="1">
      <c r="A38" s="488"/>
      <c r="B38" s="488"/>
      <c r="C38" s="91"/>
      <c r="D38" s="92" t="str">
        <f>OSS_OMS!A4</f>
        <v>OSS</v>
      </c>
      <c r="E38" s="92" t="str">
        <f>OSS_OMS!B4</f>
        <v>OMS</v>
      </c>
      <c r="F38" s="478">
        <f>OSS_OMS!C4</f>
        <v>0.31381681031940101</v>
      </c>
      <c r="G38" s="478"/>
      <c r="H38" s="478">
        <f>OSS_OMS!E4</f>
        <v>15.70886193748216</v>
      </c>
      <c r="I38" s="478"/>
      <c r="J38" s="478">
        <f>OSS_OMS!G4</f>
        <v>0.51764626751673382</v>
      </c>
      <c r="K38" s="478"/>
      <c r="L38" s="93">
        <f t="shared" si="3"/>
        <v>32.323131462898303</v>
      </c>
      <c r="M38" s="93">
        <f t="shared" si="4"/>
        <v>507.75960953775518</v>
      </c>
      <c r="N38" s="93">
        <f t="shared" si="5"/>
        <v>53.317565554223584</v>
      </c>
      <c r="O38" s="94">
        <v>103</v>
      </c>
      <c r="P38" s="488"/>
      <c r="Q38" s="488"/>
      <c r="R38" s="488"/>
    </row>
    <row r="39" spans="1:18" ht="16.5" hidden="1">
      <c r="A39" s="488"/>
      <c r="B39" s="488"/>
      <c r="C39" s="91"/>
      <c r="D39" s="92" t="str">
        <f>'OSS_KUF 03_2024'!A4</f>
        <v>OSS</v>
      </c>
      <c r="E39" s="92" t="str">
        <f>'OSS_KUF 03_2024'!B4</f>
        <v>KUF</v>
      </c>
      <c r="F39" s="478">
        <f>'OSS_KUF 03_2024'!C4</f>
        <v>0.81756250426770616</v>
      </c>
      <c r="G39" s="478"/>
      <c r="H39" s="478">
        <f>'OSS_KUF 03_2024'!E4</f>
        <v>15.989483022628111</v>
      </c>
      <c r="I39" s="478"/>
      <c r="J39" s="478">
        <f>'OSS_KUF 03_2024'!G4</f>
        <v>1.2627297965563535</v>
      </c>
      <c r="K39" s="478"/>
      <c r="L39" s="93">
        <f t="shared" si="3"/>
        <v>165.96518836634436</v>
      </c>
      <c r="M39" s="93">
        <f t="shared" si="4"/>
        <v>2653.6975617309395</v>
      </c>
      <c r="N39" s="93">
        <f t="shared" si="5"/>
        <v>256.33414870093975</v>
      </c>
      <c r="O39" s="94">
        <v>203</v>
      </c>
      <c r="P39" s="488"/>
      <c r="Q39" s="488"/>
      <c r="R39" s="488"/>
    </row>
    <row r="40" spans="1:18" ht="16.5" hidden="1">
      <c r="A40" s="488"/>
      <c r="B40" s="488"/>
      <c r="C40" s="91"/>
      <c r="D40" s="92" t="str">
        <f>OSS_KEJ!A4</f>
        <v>OSS</v>
      </c>
      <c r="E40" s="92" t="str">
        <f>OSS_KEJ!B4</f>
        <v>KEJ</v>
      </c>
      <c r="F40" s="478">
        <f>OSS_KEJ!C4</f>
        <v>0.43613492972967977</v>
      </c>
      <c r="G40" s="478"/>
      <c r="H40" s="478">
        <f>OSS_KEJ!E4</f>
        <v>15.688618859347493</v>
      </c>
      <c r="I40" s="478"/>
      <c r="J40" s="478">
        <f>OSS_KEJ!G4</f>
        <v>1.8305659802739622</v>
      </c>
      <c r="K40" s="478"/>
      <c r="L40" s="93">
        <f t="shared" si="3"/>
        <v>45.794167621616374</v>
      </c>
      <c r="M40" s="93">
        <f t="shared" si="4"/>
        <v>718.44724179661091</v>
      </c>
      <c r="N40" s="93">
        <f t="shared" si="5"/>
        <v>192.20942792876605</v>
      </c>
      <c r="O40" s="94">
        <v>105</v>
      </c>
      <c r="P40" s="488"/>
      <c r="Q40" s="488"/>
      <c r="R40" s="488"/>
    </row>
    <row r="41" spans="1:18" ht="16.5" hidden="1">
      <c r="A41" s="488"/>
      <c r="B41" s="488"/>
      <c r="C41" s="91"/>
      <c r="D41" s="92" t="str">
        <f>'OSS_KJA 06_2023'!A4</f>
        <v>OSS</v>
      </c>
      <c r="E41" s="92" t="str">
        <f>'OSS_KJA 06_2023'!B4</f>
        <v>KJA</v>
      </c>
      <c r="F41" s="478">
        <f>'OSS_KJA 06_2023'!C4</f>
        <v>0.55772616339255621</v>
      </c>
      <c r="G41" s="478"/>
      <c r="H41" s="478">
        <f>'OSS_KJA 06_2023'!E4</f>
        <v>15.97675698484522</v>
      </c>
      <c r="I41" s="478"/>
      <c r="J41" s="478">
        <f>'OSS_KJA 06_2023'!G4</f>
        <v>1.5320540228224757</v>
      </c>
      <c r="K41" s="478"/>
      <c r="L41" s="93">
        <f t="shared" si="3"/>
        <v>27.88630816962781</v>
      </c>
      <c r="M41" s="93">
        <f t="shared" si="4"/>
        <v>445.53276883064746</v>
      </c>
      <c r="N41" s="93">
        <f t="shared" si="5"/>
        <v>76.602701141123788</v>
      </c>
      <c r="O41" s="94">
        <v>50</v>
      </c>
      <c r="P41" s="488"/>
      <c r="Q41" s="488"/>
      <c r="R41" s="488"/>
    </row>
    <row r="42" spans="1:18" ht="16.5" hidden="1">
      <c r="A42" s="488"/>
      <c r="B42" s="488"/>
      <c r="C42" s="91"/>
      <c r="D42" s="92" t="str">
        <f>'LBD_UFA 07_2026'!A4</f>
        <v>LBD</v>
      </c>
      <c r="E42" s="92" t="str">
        <f>'LBD_UFA 07_2026'!B4</f>
        <v>UFA</v>
      </c>
      <c r="F42" s="478">
        <f>'LBD_UFA 07_2026'!C4</f>
        <v>0.89282840236686389</v>
      </c>
      <c r="G42" s="478"/>
      <c r="H42" s="478">
        <f>'LBD_UFA 07_2026'!E4</f>
        <v>15.031537684860723</v>
      </c>
      <c r="I42" s="478"/>
      <c r="J42" s="478">
        <f>'LBD_UFA 07_2026'!G4</f>
        <v>1.7052781065088758</v>
      </c>
      <c r="K42" s="478"/>
      <c r="L42" s="93">
        <f t="shared" si="3"/>
        <v>168.74456804733728</v>
      </c>
      <c r="M42" s="93">
        <f t="shared" si="4"/>
        <v>2536.4903337190949</v>
      </c>
      <c r="N42" s="93">
        <f t="shared" si="5"/>
        <v>322.29756213017754</v>
      </c>
      <c r="O42" s="94">
        <v>189</v>
      </c>
      <c r="P42" s="488"/>
      <c r="Q42" s="488"/>
      <c r="R42" s="488"/>
    </row>
    <row r="43" spans="1:18" ht="16.5" hidden="1">
      <c r="A43" s="488"/>
      <c r="B43" s="488"/>
      <c r="C43" s="91"/>
      <c r="D43" s="92" t="str">
        <f>'LBD_KZN 07_2026'!A4</f>
        <v>LBD</v>
      </c>
      <c r="E43" s="92" t="str">
        <f>'LBD_KZN 07_2026'!B4</f>
        <v>KZN</v>
      </c>
      <c r="F43" s="478">
        <f>'LBD_KZN 07_2026'!C4</f>
        <v>0.88772736922937501</v>
      </c>
      <c r="G43" s="478"/>
      <c r="H43" s="478">
        <f>'LBD_KZN 07_2026'!E4</f>
        <v>15.567902224423671</v>
      </c>
      <c r="I43" s="478"/>
      <c r="J43" s="478">
        <f>'LBD_KZN 07_2026'!G4</f>
        <v>2.4625301764160672</v>
      </c>
      <c r="K43" s="478"/>
      <c r="L43" s="93">
        <f t="shared" si="3"/>
        <v>166.8927454151225</v>
      </c>
      <c r="M43" s="93">
        <f t="shared" si="4"/>
        <v>2598.1699425882589</v>
      </c>
      <c r="N43" s="93">
        <f t="shared" si="5"/>
        <v>462.95567316622061</v>
      </c>
      <c r="O43" s="94">
        <v>188</v>
      </c>
      <c r="P43" s="488"/>
      <c r="Q43" s="488"/>
      <c r="R43" s="488"/>
    </row>
    <row r="44" spans="1:18" ht="16.5" hidden="1">
      <c r="A44" s="488"/>
      <c r="B44" s="488"/>
      <c r="C44" s="91"/>
      <c r="D44" s="92" t="str">
        <f>'LBD_REN 05_2024'!A4</f>
        <v>LBD</v>
      </c>
      <c r="E44" s="92" t="str">
        <f>'LBD_REN 05_2024'!B4</f>
        <v>REN</v>
      </c>
      <c r="F44" s="478">
        <f>'LBD_REN 05_2024'!C4</f>
        <v>0.86125282793093183</v>
      </c>
      <c r="G44" s="478"/>
      <c r="H44" s="478">
        <f>'LBD_REN 05_2024'!E4</f>
        <v>15.223448773448773</v>
      </c>
      <c r="I44" s="478"/>
      <c r="J44" s="478">
        <f>'LBD_REN 05_2024'!G4</f>
        <v>1.981984844235434</v>
      </c>
      <c r="K44" s="478"/>
      <c r="L44" s="93">
        <f t="shared" ref="L44:L59" si="6">O44*F44</f>
        <v>99.044075212057166</v>
      </c>
      <c r="M44" s="93">
        <f t="shared" ref="M44:M59" si="7">L44*H44</f>
        <v>1507.7924053043596</v>
      </c>
      <c r="N44" s="93">
        <f t="shared" ref="N44:N59" si="8">O44*J44</f>
        <v>227.92825708707491</v>
      </c>
      <c r="O44" s="94">
        <v>115</v>
      </c>
      <c r="P44" s="488"/>
      <c r="Q44" s="488"/>
      <c r="R44" s="488"/>
    </row>
    <row r="45" spans="1:18" ht="16.5" hidden="1">
      <c r="A45" s="488"/>
      <c r="B45" s="488"/>
      <c r="C45" s="91"/>
      <c r="D45" s="92" t="str">
        <f>'KQT_SVO 07_2026'!A4</f>
        <v>KQT</v>
      </c>
      <c r="E45" s="92" t="str">
        <f>'KQT_SVO 07_2026'!B4</f>
        <v>SVO</v>
      </c>
      <c r="F45" s="478">
        <f>'KQT_SVO 07_2026'!C4</f>
        <v>0.86413457593341536</v>
      </c>
      <c r="G45" s="478"/>
      <c r="H45" s="478">
        <f>'KQT_SVO 07_2026'!E4</f>
        <v>13.951072017592082</v>
      </c>
      <c r="I45" s="478"/>
      <c r="J45" s="478">
        <f>'KQT_SVO 07_2026'!G4</f>
        <v>2.9035812672176311</v>
      </c>
      <c r="K45" s="478"/>
      <c r="L45" s="93">
        <f t="shared" si="6"/>
        <v>133.94085926967938</v>
      </c>
      <c r="M45" s="93">
        <f t="shared" si="7"/>
        <v>1868.618573769463</v>
      </c>
      <c r="N45" s="93">
        <f t="shared" si="8"/>
        <v>450.05509641873283</v>
      </c>
      <c r="O45" s="94">
        <v>155</v>
      </c>
      <c r="P45" s="488"/>
      <c r="Q45" s="488"/>
      <c r="R45" s="488"/>
    </row>
    <row r="46" spans="1:18" ht="16.5" hidden="1">
      <c r="A46" s="488"/>
      <c r="B46" s="488"/>
      <c r="C46" s="91"/>
      <c r="D46" s="92" t="str">
        <f>'KQT_KJA 07_2023'!A4</f>
        <v>KQT</v>
      </c>
      <c r="E46" s="92" t="str">
        <f>'KQT_KJA 07_2023'!B4</f>
        <v>KJA</v>
      </c>
      <c r="F46" s="478">
        <f>'KQT_KJA 07_2023'!C4</f>
        <v>0.9335106382978724</v>
      </c>
      <c r="G46" s="478"/>
      <c r="H46" s="478">
        <f>'KQT_KJA 07_2023'!E4</f>
        <v>15.127863837542307</v>
      </c>
      <c r="I46" s="478"/>
      <c r="J46" s="478">
        <f>'KQT_KJA 07_2023'!G4</f>
        <v>3.3776595744680851</v>
      </c>
      <c r="K46" s="478"/>
      <c r="L46" s="93">
        <f t="shared" si="6"/>
        <v>161.49734042553192</v>
      </c>
      <c r="M46" s="93">
        <f t="shared" si="7"/>
        <v>2443.1097760826638</v>
      </c>
      <c r="N46" s="93">
        <f t="shared" si="8"/>
        <v>584.33510638297867</v>
      </c>
      <c r="O46" s="94">
        <v>173</v>
      </c>
      <c r="P46" s="488"/>
      <c r="Q46" s="488"/>
      <c r="R46" s="488"/>
    </row>
    <row r="47" spans="1:18" ht="16.5" hidden="1">
      <c r="A47" s="488"/>
      <c r="B47" s="488"/>
      <c r="C47" s="91"/>
      <c r="D47" s="92" t="str">
        <f>'DYU_UFA 07_2026'!A4</f>
        <v>DYU</v>
      </c>
      <c r="E47" s="92" t="str">
        <f>'DYU_UFA 07_2026'!B4</f>
        <v>UFA</v>
      </c>
      <c r="F47" s="478">
        <f>'DYU_UFA 07_2026'!C4</f>
        <v>0.81825632930605297</v>
      </c>
      <c r="G47" s="478"/>
      <c r="H47" s="478">
        <f>'DYU_UFA 07_2026'!E4</f>
        <v>13.473651960784313</v>
      </c>
      <c r="I47" s="478"/>
      <c r="J47" s="478">
        <f>'DYU_UFA 07_2026'!G4</f>
        <v>0.90094711917916337</v>
      </c>
      <c r="K47" s="478"/>
      <c r="L47" s="93">
        <f t="shared" si="6"/>
        <v>144.01311395786533</v>
      </c>
      <c r="M47" s="93">
        <f t="shared" si="7"/>
        <v>1940.3825752570469</v>
      </c>
      <c r="N47" s="93">
        <f t="shared" si="8"/>
        <v>158.56669297553276</v>
      </c>
      <c r="O47" s="94">
        <v>176</v>
      </c>
      <c r="P47" s="488"/>
      <c r="Q47" s="488"/>
      <c r="R47" s="488"/>
    </row>
    <row r="48" spans="1:18" ht="16.5" hidden="1">
      <c r="A48" s="488"/>
      <c r="B48" s="488"/>
      <c r="C48" s="91"/>
      <c r="D48" s="92" t="str">
        <f>'DYU_KZN 07_2026'!A4</f>
        <v>DYU</v>
      </c>
      <c r="E48" s="92" t="str">
        <f>'DYU_KZN 07_2026'!B4</f>
        <v>KZN</v>
      </c>
      <c r="F48" s="478">
        <f>'DYU_KZN 07_2026'!C4</f>
        <v>0.8884295632192718</v>
      </c>
      <c r="G48" s="478"/>
      <c r="H48" s="478">
        <f>'DYU_KZN 07_2026'!E4</f>
        <v>14.287763899384951</v>
      </c>
      <c r="I48" s="478"/>
      <c r="J48" s="478">
        <f>'DYU_KZN 07_2026'!G4</f>
        <v>1.6671285858887299</v>
      </c>
      <c r="K48" s="478"/>
      <c r="L48" s="93">
        <f>O48*F48</f>
        <v>195.45450390823979</v>
      </c>
      <c r="M48" s="93">
        <f t="shared" si="7"/>
        <v>2792.607804912343</v>
      </c>
      <c r="N48" s="93">
        <f>O48*J48</f>
        <v>366.76828889552058</v>
      </c>
      <c r="O48" s="94">
        <v>220</v>
      </c>
      <c r="P48" s="488"/>
      <c r="Q48" s="488"/>
      <c r="R48" s="488"/>
    </row>
    <row r="49" spans="1:18" ht="16.5" hidden="1">
      <c r="A49" s="488"/>
      <c r="B49" s="488"/>
      <c r="C49" s="91"/>
      <c r="D49" s="92" t="str">
        <f>'DYU_KUF 03_2024'!A4</f>
        <v>DYU</v>
      </c>
      <c r="E49" s="92" t="str">
        <f>'DYU_KUF 03_2024'!B4</f>
        <v>KUF</v>
      </c>
      <c r="F49" s="478">
        <f>'DYU_KUF 03_2024'!C4</f>
        <v>0.95199338893144603</v>
      </c>
      <c r="G49" s="478"/>
      <c r="H49" s="478">
        <f>'DYU_KUF 03_2024'!E4</f>
        <v>14.333670083815022</v>
      </c>
      <c r="I49" s="478"/>
      <c r="J49" s="478">
        <f>'DYU_KUF 03_2024'!G4</f>
        <v>2.8004557447317189</v>
      </c>
      <c r="K49" s="478"/>
      <c r="L49" s="93">
        <f t="shared" si="6"/>
        <v>178.97475711911184</v>
      </c>
      <c r="M49" s="93">
        <f t="shared" si="7"/>
        <v>2565.365121876273</v>
      </c>
      <c r="N49" s="93">
        <f t="shared" si="8"/>
        <v>526.48568000956311</v>
      </c>
      <c r="O49" s="94">
        <v>188</v>
      </c>
      <c r="P49" s="488"/>
      <c r="Q49" s="488"/>
      <c r="R49" s="488"/>
    </row>
    <row r="50" spans="1:18" ht="16.5" hidden="1">
      <c r="A50" s="488"/>
      <c r="B50" s="488"/>
      <c r="C50" s="91"/>
      <c r="D50" s="92" t="str">
        <f>'DYU_REN 05_2024'!A4</f>
        <v>DYU</v>
      </c>
      <c r="E50" s="92" t="str">
        <f>'DYU_REN 05_2024'!B4</f>
        <v>REN</v>
      </c>
      <c r="F50" s="478">
        <f>'DYU_REN 05_2024'!C4</f>
        <v>0.90351932018598691</v>
      </c>
      <c r="G50" s="478"/>
      <c r="H50" s="478">
        <f>'DYU_REN 05_2024'!E4</f>
        <v>12.635137951154455</v>
      </c>
      <c r="I50" s="478"/>
      <c r="J50" s="478">
        <f>'DYU_REN 05_2024'!G4</f>
        <v>2.1917989417989419</v>
      </c>
      <c r="K50" s="478"/>
      <c r="L50" s="93">
        <f t="shared" si="6"/>
        <v>168.05459355459357</v>
      </c>
      <c r="M50" s="93">
        <f t="shared" si="7"/>
        <v>2123.3929728874818</v>
      </c>
      <c r="N50" s="93">
        <f t="shared" si="8"/>
        <v>407.67460317460319</v>
      </c>
      <c r="O50" s="94">
        <v>186</v>
      </c>
      <c r="P50" s="488"/>
      <c r="Q50" s="488"/>
      <c r="R50" s="488"/>
    </row>
    <row r="51" spans="1:18" ht="16.5" hidden="1">
      <c r="A51" s="488"/>
      <c r="B51" s="488"/>
      <c r="C51" s="91"/>
      <c r="D51" s="92" t="str">
        <f>'CCC_SVO 02_2026'!A4</f>
        <v>CCC</v>
      </c>
      <c r="E51" s="92" t="str">
        <f>'CCC_SVO 02_2026'!B4</f>
        <v>SVO</v>
      </c>
      <c r="F51" s="478">
        <f>'CCC_SVO 02_2026'!C4</f>
        <v>0.79327121650185872</v>
      </c>
      <c r="G51" s="478"/>
      <c r="H51" s="478">
        <f>'CCC_SVO 02_2026'!E4</f>
        <v>13.173699219177465</v>
      </c>
      <c r="I51" s="478"/>
      <c r="J51" s="478">
        <f>'CCC_SVO 02_2026'!G4</f>
        <v>0</v>
      </c>
      <c r="K51" s="478"/>
      <c r="L51" s="93">
        <f t="shared" si="6"/>
        <v>414.08757501397025</v>
      </c>
      <c r="M51" s="93">
        <f t="shared" si="7"/>
        <v>5455.0651636326302</v>
      </c>
      <c r="N51" s="93">
        <f t="shared" si="8"/>
        <v>0</v>
      </c>
      <c r="O51" s="94">
        <v>522</v>
      </c>
      <c r="P51" s="488"/>
      <c r="Q51" s="488"/>
      <c r="R51" s="488"/>
    </row>
    <row r="52" spans="1:18" ht="16.5" hidden="1">
      <c r="A52" s="488"/>
      <c r="B52" s="488"/>
      <c r="C52" s="91"/>
      <c r="D52" s="92" t="str">
        <f>'VRA_SVO 02_2026'!A4</f>
        <v>VRA</v>
      </c>
      <c r="E52" s="92" t="str">
        <f>'VRA_SVO 02_2026'!B4</f>
        <v>SVO</v>
      </c>
      <c r="F52" s="478">
        <f>'VRA_SVO 02_2026'!C4</f>
        <v>0.84075607348470671</v>
      </c>
      <c r="G52" s="478"/>
      <c r="H52" s="478">
        <f>'VRA_SVO 02_2026'!E4</f>
        <v>12.365900791790013</v>
      </c>
      <c r="I52" s="478"/>
      <c r="J52" s="478">
        <f>'VRA_SVO 02_2026'!G4</f>
        <v>0</v>
      </c>
      <c r="K52" s="478"/>
      <c r="L52" s="93">
        <f t="shared" si="6"/>
        <v>407.76669564008273</v>
      </c>
      <c r="M52" s="93">
        <f t="shared" si="7"/>
        <v>5042.4025044812961</v>
      </c>
      <c r="N52" s="93">
        <f t="shared" si="8"/>
        <v>0</v>
      </c>
      <c r="O52" s="94">
        <v>485</v>
      </c>
      <c r="P52" s="488"/>
      <c r="Q52" s="488"/>
      <c r="R52" s="488"/>
    </row>
    <row r="53" spans="1:18" ht="16.5" hidden="1">
      <c r="A53" s="488"/>
      <c r="B53" s="488"/>
      <c r="C53" s="91"/>
      <c r="D53" s="92" t="str">
        <f>'PMV_SVO 12_2025'!A4</f>
        <v>PMV</v>
      </c>
      <c r="E53" s="92" t="str">
        <f>'PMV_SVO 12_2025'!B4</f>
        <v>SVO</v>
      </c>
      <c r="F53" s="478">
        <f>'PMV_SVO 12_2025'!C4</f>
        <v>0.81105990783410142</v>
      </c>
      <c r="G53" s="478"/>
      <c r="H53" s="478">
        <f>'PMV_SVO 12_2025'!E4</f>
        <v>12.8125</v>
      </c>
      <c r="I53" s="478"/>
      <c r="J53" s="478">
        <f>'PMV_SVO 12_2025'!G4</f>
        <v>0</v>
      </c>
      <c r="K53" s="478"/>
      <c r="L53" s="93">
        <f t="shared" si="6"/>
        <v>377.95391705069125</v>
      </c>
      <c r="M53" s="93">
        <f t="shared" si="7"/>
        <v>4842.5345622119812</v>
      </c>
      <c r="N53" s="93">
        <f t="shared" si="8"/>
        <v>0</v>
      </c>
      <c r="O53" s="94">
        <v>466</v>
      </c>
      <c r="P53" s="488"/>
      <c r="Q53" s="488"/>
      <c r="R53" s="488"/>
    </row>
    <row r="54" spans="1:18" ht="16.5" hidden="1">
      <c r="A54" s="488"/>
      <c r="B54" s="488"/>
      <c r="C54" s="91"/>
      <c r="D54" s="92" t="str">
        <f>'SSH_KZN 01_2026'!A4</f>
        <v>SSH</v>
      </c>
      <c r="E54" s="92" t="str">
        <f>'SSH_KZN 01_2026'!B4</f>
        <v>KZN</v>
      </c>
      <c r="F54" s="478">
        <f>'SSH_KZN 01_2026'!C4</f>
        <v>0.75895164267257287</v>
      </c>
      <c r="G54" s="478"/>
      <c r="H54" s="478">
        <f>'SSH_KZN 01_2026'!E4</f>
        <v>12.057066039919519</v>
      </c>
      <c r="I54" s="478"/>
      <c r="J54" s="478">
        <f>'SSH_KZN 01_2026'!G4</f>
        <v>3</v>
      </c>
      <c r="K54" s="478"/>
      <c r="L54" s="93">
        <f>O54*F54</f>
        <v>145.718715393134</v>
      </c>
      <c r="M54" s="93">
        <f t="shared" si="7"/>
        <v>1756.9401747472536</v>
      </c>
      <c r="N54" s="93">
        <f>O54*J54</f>
        <v>576</v>
      </c>
      <c r="O54" s="94">
        <v>192</v>
      </c>
      <c r="P54" s="488"/>
      <c r="Q54" s="488"/>
      <c r="R54" s="488"/>
    </row>
    <row r="55" spans="1:18" ht="16.5" hidden="1">
      <c r="A55" s="488"/>
      <c r="B55" s="488"/>
      <c r="C55" s="91"/>
      <c r="D55" s="92" t="str">
        <f>SSH_ZIA_09.2023!A4</f>
        <v>SSH</v>
      </c>
      <c r="E55" s="92" t="str">
        <f>SSH_ZIA_09.2023!B4</f>
        <v>ZIA</v>
      </c>
      <c r="F55" s="478">
        <f>SSH_ZIA_09.2023!C4</f>
        <v>0.73924050632911398</v>
      </c>
      <c r="G55" s="478"/>
      <c r="H55" s="478">
        <f>SSH_ZIA_09.2023!E4</f>
        <v>16.397260273972602</v>
      </c>
      <c r="I55" s="478"/>
      <c r="J55" s="478">
        <f>SSH_ZIA_09.2023!G4</f>
        <v>5</v>
      </c>
      <c r="K55" s="478"/>
      <c r="L55" s="93">
        <f t="shared" si="6"/>
        <v>41.39746835443038</v>
      </c>
      <c r="M55" s="93">
        <f t="shared" si="7"/>
        <v>678.80506329113928</v>
      </c>
      <c r="N55" s="93">
        <f t="shared" si="8"/>
        <v>280</v>
      </c>
      <c r="O55" s="94">
        <v>56</v>
      </c>
      <c r="P55" s="488"/>
      <c r="Q55" s="488"/>
      <c r="R55" s="488"/>
    </row>
    <row r="56" spans="1:18" ht="16.5" hidden="1">
      <c r="A56" s="488"/>
      <c r="B56" s="488"/>
      <c r="C56" s="91"/>
      <c r="D56" s="92" t="str">
        <f>'SSH_SVO 01_2026'!A4</f>
        <v>SSH</v>
      </c>
      <c r="E56" s="92" t="str">
        <f>'SSH_SVO 01_2026'!B4</f>
        <v>SVO</v>
      </c>
      <c r="F56" s="478">
        <f>'SSH_SVO 01_2026'!C4</f>
        <v>0.78428510612418656</v>
      </c>
      <c r="G56" s="478"/>
      <c r="H56" s="478">
        <f>'SSH_SVO 01_2026'!E4</f>
        <v>12.175868611721262</v>
      </c>
      <c r="I56" s="478"/>
      <c r="J56" s="478">
        <f>'SSH_SVO 01_2026'!G4</f>
        <v>3</v>
      </c>
      <c r="K56" s="478"/>
      <c r="L56" s="93">
        <f t="shared" si="6"/>
        <v>297.24405522106673</v>
      </c>
      <c r="M56" s="93">
        <f t="shared" si="7"/>
        <v>3619.2045619869277</v>
      </c>
      <c r="N56" s="93">
        <f t="shared" si="8"/>
        <v>1137</v>
      </c>
      <c r="O56" s="94">
        <v>379</v>
      </c>
      <c r="P56" s="488"/>
      <c r="Q56" s="488"/>
      <c r="R56" s="488"/>
    </row>
    <row r="57" spans="1:18" ht="16.5" hidden="1">
      <c r="A57" s="488"/>
      <c r="B57" s="488"/>
      <c r="C57" s="91"/>
      <c r="D57" s="92" t="str">
        <f>'SSH_SVX 01_2026'!A4</f>
        <v>SSH</v>
      </c>
      <c r="E57" s="92" t="str">
        <f>'SSH_SVX 01_2026'!B4</f>
        <v>SVX</v>
      </c>
      <c r="F57" s="478">
        <f>'SSH_SVX 01_2026'!C4</f>
        <v>0.76185245586905859</v>
      </c>
      <c r="G57" s="478"/>
      <c r="H57" s="478">
        <f>'SSH_SVX 01_2026'!E4</f>
        <v>12.129449761991417</v>
      </c>
      <c r="I57" s="478"/>
      <c r="J57" s="478">
        <f>'SSH_SVX 01_2026'!G4</f>
        <v>3</v>
      </c>
      <c r="K57" s="478"/>
      <c r="L57" s="93">
        <f>O57*F57</f>
        <v>287.98022831850415</v>
      </c>
      <c r="M57" s="93">
        <f t="shared" si="7"/>
        <v>3493.0417118361138</v>
      </c>
      <c r="N57" s="93">
        <f>O57*J57</f>
        <v>1134</v>
      </c>
      <c r="O57" s="94">
        <v>378</v>
      </c>
      <c r="P57" s="488"/>
      <c r="Q57" s="488"/>
      <c r="R57" s="488"/>
    </row>
    <row r="58" spans="1:18" ht="16.5" hidden="1">
      <c r="A58" s="488"/>
      <c r="B58" s="488"/>
      <c r="C58" s="91"/>
      <c r="D58" s="92" t="str">
        <f>'HRG_SVO 10_2023'!A4</f>
        <v>HRG</v>
      </c>
      <c r="E58" s="92" t="str">
        <f>'HRG_SVO 10_2023'!B4</f>
        <v>SVO</v>
      </c>
      <c r="F58" s="478">
        <f>'HRG_SVO 10_2023'!C4</f>
        <v>0.72562947397758615</v>
      </c>
      <c r="G58" s="478"/>
      <c r="H58" s="478">
        <f>'HRG_SVO 10_2023'!E4</f>
        <v>12.367720205032436</v>
      </c>
      <c r="I58" s="478"/>
      <c r="J58" s="478">
        <f>'HRG_SVO 10_2023'!G4</f>
        <v>5</v>
      </c>
      <c r="K58" s="478"/>
      <c r="L58" s="93">
        <f t="shared" si="6"/>
        <v>40.635250542744828</v>
      </c>
      <c r="M58" s="93">
        <f t="shared" si="7"/>
        <v>502.56540917406045</v>
      </c>
      <c r="N58" s="93">
        <f t="shared" si="8"/>
        <v>280</v>
      </c>
      <c r="O58" s="94">
        <v>56</v>
      </c>
      <c r="P58" s="488"/>
      <c r="Q58" s="488"/>
      <c r="R58" s="488"/>
    </row>
    <row r="59" spans="1:18" ht="16.5" hidden="1">
      <c r="A59" s="488"/>
      <c r="B59" s="488"/>
      <c r="C59" s="91"/>
      <c r="D59" s="92" t="str">
        <f>'SSH_LED 11_2025'!A4</f>
        <v>SSH</v>
      </c>
      <c r="E59" s="92" t="str">
        <f>'SSH_LED 11_2025'!B4</f>
        <v>LED</v>
      </c>
      <c r="F59" s="478">
        <f>'SSH_LED 11_2025'!C4</f>
        <v>0.77611856509290966</v>
      </c>
      <c r="G59" s="478"/>
      <c r="H59" s="478">
        <f>'SSH_LED 11_2025'!E4</f>
        <v>11.718447054436988</v>
      </c>
      <c r="I59" s="478"/>
      <c r="J59" s="478">
        <f>'SSH_LED 11_2025'!G4</f>
        <v>3</v>
      </c>
      <c r="K59" s="478"/>
      <c r="L59" s="93">
        <f t="shared" si="6"/>
        <v>169.9699657553472</v>
      </c>
      <c r="M59" s="93">
        <f t="shared" si="7"/>
        <v>1991.7840445485042</v>
      </c>
      <c r="N59" s="93">
        <f t="shared" si="8"/>
        <v>657</v>
      </c>
      <c r="O59" s="94">
        <v>219</v>
      </c>
      <c r="P59" s="488"/>
      <c r="Q59" s="488"/>
      <c r="R59" s="488"/>
    </row>
    <row r="60" spans="1:18" ht="16.5" hidden="1">
      <c r="A60" s="488"/>
      <c r="B60" s="488"/>
      <c r="C60" s="91"/>
      <c r="D60" s="92" t="str">
        <f>'AER_BAX 07_26'!A4</f>
        <v>AER</v>
      </c>
      <c r="E60" s="92" t="str">
        <f>'AER_BAX 07_26'!B4</f>
        <v>BAX</v>
      </c>
      <c r="F60" s="479">
        <f>'AER_BAX 07_26'!C4</f>
        <v>0.41365719228968906</v>
      </c>
      <c r="G60" s="480"/>
      <c r="H60" s="479">
        <f>'AER_BAX 07_26'!E4</f>
        <v>13.77295936537406</v>
      </c>
      <c r="I60" s="480"/>
      <c r="J60" s="479">
        <f>'AER_BAX 07_26'!G4</f>
        <v>1.6221716962854476</v>
      </c>
      <c r="K60" s="480"/>
      <c r="L60" s="93">
        <f>O60*F60</f>
        <v>78.181209342751231</v>
      </c>
      <c r="M60" s="93">
        <f>L60*H60</f>
        <v>1076.7866194135156</v>
      </c>
      <c r="N60" s="93">
        <f>O60*J60</f>
        <v>306.5904505979496</v>
      </c>
      <c r="O60" s="94">
        <v>189</v>
      </c>
      <c r="P60" s="488"/>
      <c r="Q60" s="488"/>
      <c r="R60" s="488"/>
    </row>
    <row r="61" spans="1:18" ht="16.5" hidden="1">
      <c r="A61" s="488"/>
      <c r="B61" s="488"/>
      <c r="C61" s="91"/>
      <c r="D61" s="92" t="str">
        <f>'AER_CSY 07_26'!A4</f>
        <v>AER</v>
      </c>
      <c r="E61" s="92" t="str">
        <f>'AER_CSY 07_26'!B4</f>
        <v>CSY</v>
      </c>
      <c r="F61" s="479">
        <f>'AER_CSY 07_26'!C4</f>
        <v>0.57836609596279853</v>
      </c>
      <c r="G61" s="480"/>
      <c r="H61" s="479">
        <f>'AER_CSY 07_26'!E4</f>
        <v>12.719639468690701</v>
      </c>
      <c r="I61" s="480"/>
      <c r="J61" s="479">
        <f>'AER_CSY 07_26'!G4</f>
        <v>1.7540512928908616</v>
      </c>
      <c r="K61" s="480"/>
      <c r="L61" s="93">
        <f t="shared" ref="L61:L88" si="9">O61*F61</f>
        <v>108.15445994504333</v>
      </c>
      <c r="M61" s="93">
        <f t="shared" ref="M61:M92" si="10">L61*H61</f>
        <v>1375.6857374319006</v>
      </c>
      <c r="N61" s="93">
        <f t="shared" ref="N61:N88" si="11">O61*J61</f>
        <v>328.00759177059109</v>
      </c>
      <c r="O61" s="94">
        <v>187</v>
      </c>
      <c r="P61" s="488"/>
      <c r="Q61" s="488"/>
      <c r="R61" s="488"/>
    </row>
    <row r="62" spans="1:18" ht="16.5" hidden="1">
      <c r="A62" s="488"/>
      <c r="B62" s="488"/>
      <c r="C62" s="91"/>
      <c r="D62" s="92" t="str">
        <f>'AER_CEK 07_26'!A4</f>
        <v>AER</v>
      </c>
      <c r="E62" s="92" t="str">
        <f>'AER_CEK 07_26'!B4</f>
        <v>CEK</v>
      </c>
      <c r="F62" s="479">
        <f>'AER_CEK 07_26'!C4</f>
        <v>0.54838709677419351</v>
      </c>
      <c r="G62" s="480"/>
      <c r="H62" s="479">
        <f>'AER_CEK 07_26'!E4</f>
        <v>14.127450980392156</v>
      </c>
      <c r="I62" s="480"/>
      <c r="J62" s="479">
        <f>'AER_CEK 07_26'!G4</f>
        <v>1.467741935483871</v>
      </c>
      <c r="K62" s="480"/>
      <c r="L62" s="93">
        <f t="shared" si="9"/>
        <v>104.74193548387096</v>
      </c>
      <c r="M62" s="93">
        <f t="shared" si="10"/>
        <v>1479.7365591397847</v>
      </c>
      <c r="N62" s="93">
        <f t="shared" si="11"/>
        <v>280.33870967741939</v>
      </c>
      <c r="O62" s="94">
        <v>191</v>
      </c>
      <c r="P62" s="488"/>
      <c r="Q62" s="488"/>
      <c r="R62" s="488"/>
    </row>
    <row r="63" spans="1:18" ht="16.5">
      <c r="A63" s="488"/>
      <c r="B63" s="488"/>
      <c r="C63" s="91"/>
      <c r="D63" s="92" t="str">
        <f>'AER_GOJ 07_26'!A4</f>
        <v>AER</v>
      </c>
      <c r="E63" s="92" t="str">
        <f>'AER_GOJ 07_26'!B4</f>
        <v>GOJ</v>
      </c>
      <c r="F63" s="479">
        <f>'AER_GOJ 07_26'!C4</f>
        <v>0.49440485816998331</v>
      </c>
      <c r="G63" s="480"/>
      <c r="H63" s="479">
        <f>'AER_GOJ 07_26'!E4</f>
        <v>14.334865472417858</v>
      </c>
      <c r="I63" s="480"/>
      <c r="J63" s="479">
        <f>'AER_GOJ 07_26'!G4</f>
        <v>1.1773904136535378</v>
      </c>
      <c r="K63" s="480"/>
      <c r="L63" s="93">
        <f t="shared" si="9"/>
        <v>144.86062344380511</v>
      </c>
      <c r="M63" s="93">
        <f t="shared" si="10"/>
        <v>2076.557549317527</v>
      </c>
      <c r="N63" s="93">
        <f t="shared" si="11"/>
        <v>344.97539120048657</v>
      </c>
      <c r="O63" s="94">
        <v>293</v>
      </c>
      <c r="P63" s="488"/>
      <c r="Q63" s="488"/>
      <c r="R63" s="488"/>
    </row>
    <row r="64" spans="1:18" ht="16.5" hidden="1">
      <c r="A64" s="488"/>
      <c r="B64" s="488"/>
      <c r="C64" s="91"/>
      <c r="D64" s="92" t="str">
        <f>'AER_IWA 07_26'!A4</f>
        <v>AER</v>
      </c>
      <c r="E64" s="92" t="str">
        <f>'AER_IWA 07_26'!B4</f>
        <v>IWA</v>
      </c>
      <c r="F64" s="479">
        <f>'AER_IWA 07_26'!C4</f>
        <v>0.52585194653409995</v>
      </c>
      <c r="G64" s="480"/>
      <c r="H64" s="479">
        <f>'AER_IWA 07_26'!E4</f>
        <v>13.693522984951557</v>
      </c>
      <c r="I64" s="480"/>
      <c r="J64" s="479">
        <f>'AER_IWA 07_26'!G4</f>
        <v>2.0827420425047047</v>
      </c>
      <c r="K64" s="480"/>
      <c r="L64" s="93">
        <f t="shared" si="9"/>
        <v>49.430082974205398</v>
      </c>
      <c r="M64" s="93">
        <f t="shared" si="10"/>
        <v>676.87197735534426</v>
      </c>
      <c r="N64" s="93">
        <f t="shared" si="11"/>
        <v>195.77775199544226</v>
      </c>
      <c r="O64" s="94">
        <v>94</v>
      </c>
      <c r="P64" s="488"/>
      <c r="Q64" s="488"/>
      <c r="R64" s="488"/>
    </row>
    <row r="65" spans="1:18" ht="16.5" hidden="1">
      <c r="A65" s="488"/>
      <c r="B65" s="488"/>
      <c r="C65" s="91"/>
      <c r="D65" s="92" t="str">
        <f>'AER_KVX 07_26'!A4</f>
        <v>AER</v>
      </c>
      <c r="E65" s="92" t="str">
        <f>'AER_KVX 07_26'!B4</f>
        <v>KVX</v>
      </c>
      <c r="F65" s="479">
        <f>'AER_KVX 07_26'!C4</f>
        <v>0.36576722857978428</v>
      </c>
      <c r="G65" s="480"/>
      <c r="H65" s="479">
        <f>'AER_KVX 07_26'!E4</f>
        <v>13.296426663614165</v>
      </c>
      <c r="I65" s="480"/>
      <c r="J65" s="479">
        <f>'AER_KVX 07_26'!G4</f>
        <v>1.3487423475023561</v>
      </c>
      <c r="K65" s="480"/>
      <c r="L65" s="93">
        <f t="shared" si="9"/>
        <v>64.375032230042038</v>
      </c>
      <c r="M65" s="93">
        <f t="shared" si="10"/>
        <v>855.95789501455215</v>
      </c>
      <c r="N65" s="93">
        <f t="shared" si="11"/>
        <v>237.37865316041467</v>
      </c>
      <c r="O65" s="94">
        <v>176</v>
      </c>
      <c r="P65" s="488"/>
      <c r="Q65" s="488"/>
      <c r="R65" s="488"/>
    </row>
    <row r="66" spans="1:18" ht="16.5" hidden="1">
      <c r="A66" s="488"/>
      <c r="B66" s="488"/>
      <c r="C66" s="91"/>
      <c r="D66" s="92" t="str">
        <f>'AER_KZN 07_26'!A4</f>
        <v>AER</v>
      </c>
      <c r="E66" s="92" t="str">
        <f>'AER_KZN 07_26'!B4</f>
        <v>KZN</v>
      </c>
      <c r="F66" s="479">
        <f>'AER_KZN 07_26'!C4</f>
        <v>0.47990600621212592</v>
      </c>
      <c r="G66" s="480"/>
      <c r="H66" s="479">
        <f>'AER_KZN 07_26'!E4</f>
        <v>14.307287390629401</v>
      </c>
      <c r="I66" s="480"/>
      <c r="J66" s="479">
        <f>'AER_KZN 07_26'!G4</f>
        <v>1.383001760681853</v>
      </c>
      <c r="K66" s="480"/>
      <c r="L66" s="93">
        <f>O66*F66</f>
        <v>75.825148981515895</v>
      </c>
      <c r="M66" s="93">
        <f t="shared" si="10"/>
        <v>1084.8521979158381</v>
      </c>
      <c r="N66" s="93">
        <f>O66*J66</f>
        <v>218.51427818773277</v>
      </c>
      <c r="O66" s="94">
        <v>158</v>
      </c>
      <c r="P66" s="488"/>
      <c r="Q66" s="488"/>
      <c r="R66" s="488"/>
    </row>
    <row r="67" spans="1:18" ht="16.5" hidden="1">
      <c r="A67" s="488"/>
      <c r="B67" s="488"/>
      <c r="C67" s="91"/>
      <c r="D67" s="92" t="e">
        <f>#REF!</f>
        <v>#REF!</v>
      </c>
      <c r="E67" s="92" t="e">
        <f>#REF!</f>
        <v>#REF!</v>
      </c>
      <c r="F67" s="479" t="e">
        <f>#REF!</f>
        <v>#REF!</v>
      </c>
      <c r="G67" s="480"/>
      <c r="H67" s="479" t="e">
        <f>#REF!</f>
        <v>#REF!</v>
      </c>
      <c r="I67" s="480"/>
      <c r="J67" s="479" t="e">
        <f>#REF!</f>
        <v>#REF!</v>
      </c>
      <c r="K67" s="480"/>
      <c r="L67" s="93" t="e">
        <f t="shared" si="9"/>
        <v>#REF!</v>
      </c>
      <c r="M67" s="93" t="e">
        <f t="shared" si="10"/>
        <v>#REF!</v>
      </c>
      <c r="N67" s="93" t="e">
        <f t="shared" si="11"/>
        <v>#REF!</v>
      </c>
      <c r="O67" s="94">
        <v>211</v>
      </c>
      <c r="P67" s="488"/>
      <c r="Q67" s="488"/>
      <c r="R67" s="488"/>
    </row>
    <row r="68" spans="1:18" ht="16.5" hidden="1">
      <c r="A68" s="488"/>
      <c r="B68" s="488"/>
      <c r="C68" s="91"/>
      <c r="D68" s="92" t="str">
        <f>'AER_KJA 07_26'!A4</f>
        <v>AER</v>
      </c>
      <c r="E68" s="92" t="str">
        <f>'AER_KJA 07_26'!B4</f>
        <v>KJA</v>
      </c>
      <c r="F68" s="479">
        <f>'AER_KJA 07_26'!C4</f>
        <v>0.45618214153658893</v>
      </c>
      <c r="G68" s="480"/>
      <c r="H68" s="479">
        <f>'AER_KJA 07_26'!E4</f>
        <v>13.959053808973977</v>
      </c>
      <c r="I68" s="480"/>
      <c r="J68" s="479">
        <f>'AER_KJA 07_26'!G4</f>
        <v>1.1870700675584427</v>
      </c>
      <c r="K68" s="480"/>
      <c r="L68" s="93">
        <f t="shared" si="9"/>
        <v>192.05268158690393</v>
      </c>
      <c r="M68" s="93">
        <f t="shared" si="10"/>
        <v>2680.8737164293375</v>
      </c>
      <c r="N68" s="93">
        <f t="shared" si="11"/>
        <v>499.75649844210437</v>
      </c>
      <c r="O68" s="94">
        <v>421</v>
      </c>
      <c r="P68" s="488"/>
      <c r="Q68" s="488"/>
      <c r="R68" s="488"/>
    </row>
    <row r="69" spans="1:18" ht="16.5" hidden="1">
      <c r="A69" s="488"/>
      <c r="B69" s="488"/>
      <c r="C69" s="91"/>
      <c r="D69" s="92" t="str">
        <f>'AER_KRO 07_26'!A4</f>
        <v>AER</v>
      </c>
      <c r="E69" s="92" t="str">
        <f>'AER_KRO 07_26'!B4</f>
        <v>KRO</v>
      </c>
      <c r="F69" s="479">
        <f>'AER_KRO 07_26'!C4</f>
        <v>0.41676242446598832</v>
      </c>
      <c r="G69" s="480"/>
      <c r="H69" s="479">
        <f>'AER_KRO 07_26'!E4</f>
        <v>14.215893243854264</v>
      </c>
      <c r="I69" s="480"/>
      <c r="J69" s="479">
        <f>'AER_KRO 07_26'!G4</f>
        <v>1.2650080942449065</v>
      </c>
      <c r="K69" s="480"/>
      <c r="L69" s="93">
        <f t="shared" si="9"/>
        <v>73.350186706013943</v>
      </c>
      <c r="M69" s="93">
        <f t="shared" si="10"/>
        <v>1042.7384236294724</v>
      </c>
      <c r="N69" s="93">
        <f t="shared" si="11"/>
        <v>222.64142458710353</v>
      </c>
      <c r="O69" s="94">
        <v>176</v>
      </c>
      <c r="P69" s="488"/>
      <c r="Q69" s="488"/>
      <c r="R69" s="488"/>
    </row>
    <row r="70" spans="1:18" ht="16.5" hidden="1">
      <c r="A70" s="488"/>
      <c r="B70" s="488"/>
      <c r="C70" s="91"/>
      <c r="D70" s="92" t="str">
        <f>'AER_KEJ 07_26'!A4</f>
        <v>AER</v>
      </c>
      <c r="E70" s="92" t="str">
        <f>'AER_KEJ 07_26'!B4</f>
        <v>KEJ</v>
      </c>
      <c r="F70" s="479">
        <f>'AER_KEJ 07_26'!C4</f>
        <v>0.43516084978144526</v>
      </c>
      <c r="G70" s="480"/>
      <c r="H70" s="479">
        <f>'AER_KEJ 07_26'!E4</f>
        <v>13.659474707626881</v>
      </c>
      <c r="I70" s="480"/>
      <c r="J70" s="479">
        <f>'AER_KEJ 07_26'!G4</f>
        <v>1.9859684950501779</v>
      </c>
      <c r="K70" s="480"/>
      <c r="L70" s="93">
        <f t="shared" si="9"/>
        <v>71.801540213938466</v>
      </c>
      <c r="M70" s="93">
        <f t="shared" si="10"/>
        <v>980.77132252094691</v>
      </c>
      <c r="N70" s="93">
        <f t="shared" si="11"/>
        <v>327.68480168327937</v>
      </c>
      <c r="O70" s="94">
        <v>165</v>
      </c>
      <c r="P70" s="488"/>
      <c r="Q70" s="488"/>
      <c r="R70" s="488"/>
    </row>
    <row r="71" spans="1:18" ht="16.5" hidden="1">
      <c r="A71" s="488"/>
      <c r="B71" s="488"/>
      <c r="C71" s="91"/>
      <c r="D71" s="92" t="str">
        <f>'AER_LED 07_26'!A4</f>
        <v>AER</v>
      </c>
      <c r="E71" s="92" t="str">
        <f>'AER_LED 07_26'!B4</f>
        <v>LED</v>
      </c>
      <c r="F71" s="479">
        <f>'AER_LED 07_26'!C4</f>
        <v>0.55939173196096414</v>
      </c>
      <c r="G71" s="480"/>
      <c r="H71" s="479">
        <f>'AER_LED 07_26'!E4</f>
        <v>14.175844984802433</v>
      </c>
      <c r="I71" s="480"/>
      <c r="J71" s="479">
        <f>'AER_LED 07_26'!G4</f>
        <v>1.5584441270749592</v>
      </c>
      <c r="K71" s="480"/>
      <c r="L71" s="93">
        <f t="shared" si="9"/>
        <v>112.99712985611475</v>
      </c>
      <c r="M71" s="93">
        <f t="shared" si="10"/>
        <v>1601.8297965678737</v>
      </c>
      <c r="N71" s="93">
        <f t="shared" si="11"/>
        <v>314.80571366914177</v>
      </c>
      <c r="O71" s="94">
        <v>202</v>
      </c>
      <c r="P71" s="488"/>
      <c r="Q71" s="488"/>
      <c r="R71" s="488"/>
    </row>
    <row r="72" spans="1:18" ht="16.5" hidden="1">
      <c r="A72" s="488"/>
      <c r="B72" s="488"/>
      <c r="C72" s="91"/>
      <c r="D72" s="92" t="str">
        <f>'AER_NJC 07_26'!A4</f>
        <v>AER</v>
      </c>
      <c r="E72" s="92" t="str">
        <f>'AER_NJC 07_26'!B4</f>
        <v>NJC</v>
      </c>
      <c r="F72" s="479">
        <f>'AER_NJC 07_26'!C4</f>
        <v>0.48614470563432272</v>
      </c>
      <c r="G72" s="480"/>
      <c r="H72" s="479">
        <f>'AER_NJC 07_26'!E4</f>
        <v>13.653912408898531</v>
      </c>
      <c r="I72" s="480"/>
      <c r="J72" s="479">
        <f>'AER_NJC 07_26'!G4</f>
        <v>1.8074111219689548</v>
      </c>
      <c r="K72" s="480"/>
      <c r="L72" s="93">
        <f t="shared" si="9"/>
        <v>93.825928187424282</v>
      </c>
      <c r="M72" s="93">
        <f t="shared" si="10"/>
        <v>1281.0910051546948</v>
      </c>
      <c r="N72" s="93">
        <f t="shared" si="11"/>
        <v>348.83034654000829</v>
      </c>
      <c r="O72" s="94">
        <v>193</v>
      </c>
      <c r="P72" s="488"/>
      <c r="Q72" s="488"/>
      <c r="R72" s="488"/>
    </row>
    <row r="73" spans="1:18" ht="16.5" hidden="1">
      <c r="A73" s="488"/>
      <c r="B73" s="488"/>
      <c r="C73" s="91"/>
      <c r="D73" s="92" t="str">
        <f>'AER_NOZ 07_26'!A4</f>
        <v>AER</v>
      </c>
      <c r="E73" s="92" t="str">
        <f>'AER_NOZ 07_26'!B4</f>
        <v>NOZ</v>
      </c>
      <c r="F73" s="479">
        <f>'AER_NOZ 07_26'!C4</f>
        <v>0.40822219966117962</v>
      </c>
      <c r="G73" s="480"/>
      <c r="H73" s="479">
        <f>'AER_NOZ 07_26'!E4</f>
        <v>12.986253300187727</v>
      </c>
      <c r="I73" s="480"/>
      <c r="J73" s="479">
        <f>'AER_NOZ 07_26'!G4</f>
        <v>1.3821361544494515</v>
      </c>
      <c r="K73" s="480"/>
      <c r="L73" s="93">
        <f t="shared" si="9"/>
        <v>65.315551945788741</v>
      </c>
      <c r="M73" s="93">
        <f t="shared" si="10"/>
        <v>848.20430200958197</v>
      </c>
      <c r="N73" s="93">
        <f t="shared" si="11"/>
        <v>221.14178471191224</v>
      </c>
      <c r="O73" s="94">
        <v>160</v>
      </c>
      <c r="P73" s="488"/>
      <c r="Q73" s="488"/>
      <c r="R73" s="488"/>
    </row>
    <row r="74" spans="1:18" ht="16.5" hidden="1">
      <c r="A74" s="488"/>
      <c r="B74" s="488"/>
      <c r="C74" s="91"/>
      <c r="D74" s="92" t="str">
        <f>'AER_OVB 12_25'!A4</f>
        <v>AER</v>
      </c>
      <c r="E74" s="92" t="str">
        <f>'AER_OVB 12_25'!B4</f>
        <v>OVB</v>
      </c>
      <c r="F74" s="479">
        <f>'AER_OVB 12_25'!C4</f>
        <v>0.44936708860759494</v>
      </c>
      <c r="G74" s="480"/>
      <c r="H74" s="479">
        <f>'AER_OVB 12_25'!E4</f>
        <v>14.380281690140846</v>
      </c>
      <c r="I74" s="480"/>
      <c r="J74" s="479">
        <f>'AER_OVB 12_25'!G4</f>
        <v>2.981012658227848</v>
      </c>
      <c r="K74" s="480"/>
      <c r="L74" s="93">
        <f t="shared" si="9"/>
        <v>71.449367088607602</v>
      </c>
      <c r="M74" s="93">
        <f t="shared" si="10"/>
        <v>1027.4620253164558</v>
      </c>
      <c r="N74" s="93">
        <f t="shared" si="11"/>
        <v>473.98101265822783</v>
      </c>
      <c r="O74" s="94">
        <v>159</v>
      </c>
      <c r="P74" s="488"/>
      <c r="Q74" s="488"/>
      <c r="R74" s="488"/>
    </row>
    <row r="75" spans="1:18" ht="16.5" hidden="1">
      <c r="A75" s="488"/>
      <c r="B75" s="488"/>
      <c r="C75" s="91"/>
      <c r="D75" s="92" t="str">
        <f>'AER_OMS 07_26'!A4</f>
        <v>AER</v>
      </c>
      <c r="E75" s="92" t="str">
        <f>'AER_OMS 07_26'!B4</f>
        <v>OMS</v>
      </c>
      <c r="F75" s="479">
        <f>'AER_OMS 07_26'!C4</f>
        <v>0.4119652725237547</v>
      </c>
      <c r="G75" s="480"/>
      <c r="H75" s="479">
        <f>'AER_OMS 07_26'!E4</f>
        <v>14.049685243227916</v>
      </c>
      <c r="I75" s="480"/>
      <c r="J75" s="479">
        <f>'AER_OMS 07_26'!G4</f>
        <v>1.5733931128400105</v>
      </c>
      <c r="K75" s="480"/>
      <c r="L75" s="93">
        <f t="shared" si="9"/>
        <v>75.801610144370869</v>
      </c>
      <c r="M75" s="93">
        <f t="shared" si="10"/>
        <v>1064.9887634582828</v>
      </c>
      <c r="N75" s="93">
        <f t="shared" si="11"/>
        <v>289.50433276256194</v>
      </c>
      <c r="O75" s="94">
        <v>184</v>
      </c>
      <c r="P75" s="488"/>
      <c r="Q75" s="488"/>
      <c r="R75" s="488"/>
    </row>
    <row r="76" spans="1:18" ht="16.5" hidden="1">
      <c r="A76" s="488"/>
      <c r="B76" s="488"/>
      <c r="C76" s="91"/>
      <c r="D76" s="92" t="str">
        <f>'AER_PEE 07_26'!A4</f>
        <v>AER</v>
      </c>
      <c r="E76" s="92" t="str">
        <f>'AER_PEE 07_26'!B4</f>
        <v>PEE</v>
      </c>
      <c r="F76" s="479">
        <f>'AER_PEE 07_26'!C4</f>
        <v>0.48672833279934175</v>
      </c>
      <c r="G76" s="480"/>
      <c r="H76" s="479">
        <f>'AER_PEE 07_26'!E4</f>
        <v>13.081927459409826</v>
      </c>
      <c r="I76" s="480"/>
      <c r="J76" s="479">
        <f>'AER_PEE 07_26'!G4</f>
        <v>1.15648059612191</v>
      </c>
      <c r="K76" s="480"/>
      <c r="L76" s="93">
        <f t="shared" si="9"/>
        <v>93.938568230272963</v>
      </c>
      <c r="M76" s="93">
        <f t="shared" si="10"/>
        <v>1228.8975352292514</v>
      </c>
      <c r="N76" s="93">
        <f t="shared" si="11"/>
        <v>223.20075505152863</v>
      </c>
      <c r="O76" s="94">
        <v>193</v>
      </c>
      <c r="P76" s="488"/>
      <c r="Q76" s="488"/>
      <c r="R76" s="488"/>
    </row>
    <row r="77" spans="1:18" ht="16.5" hidden="1">
      <c r="A77" s="488"/>
      <c r="B77" s="488"/>
      <c r="C77" s="91"/>
      <c r="D77" s="92" t="str">
        <f>'AER_SVO 06_26'!A4</f>
        <v>AER</v>
      </c>
      <c r="E77" s="92" t="str">
        <f>'AER_SVO 06_26'!B4</f>
        <v>SVO</v>
      </c>
      <c r="F77" s="479">
        <f>'AER_SVO 06_26'!C4</f>
        <v>0.50549450549450547</v>
      </c>
      <c r="G77" s="480"/>
      <c r="H77" s="479">
        <f>'AER_SVO 06_26'!E4</f>
        <v>14.108823529411765</v>
      </c>
      <c r="I77" s="480"/>
      <c r="J77" s="479">
        <f>'AER_SVO 06_26'!G4</f>
        <v>1.0402930402930404</v>
      </c>
      <c r="K77" s="480"/>
      <c r="L77" s="93">
        <f t="shared" si="9"/>
        <v>32.857142857142854</v>
      </c>
      <c r="M77" s="93">
        <f t="shared" si="10"/>
        <v>463.57563025210084</v>
      </c>
      <c r="N77" s="93">
        <f t="shared" si="11"/>
        <v>67.61904761904762</v>
      </c>
      <c r="O77" s="94">
        <v>65</v>
      </c>
      <c r="P77" s="488"/>
      <c r="Q77" s="488"/>
      <c r="R77" s="488"/>
    </row>
    <row r="78" spans="1:18" ht="16.5" hidden="1">
      <c r="A78" s="488"/>
      <c r="B78" s="488"/>
      <c r="C78" s="91"/>
      <c r="D78" s="92" t="str">
        <f>'AER_SVX 07_26'!A4</f>
        <v>AER</v>
      </c>
      <c r="E78" s="92" t="str">
        <f>'AER_SVX 07_26'!B4</f>
        <v>SVX</v>
      </c>
      <c r="F78" s="479">
        <f>'AER_SVX 07_26'!C4</f>
        <v>0.45289798629292738</v>
      </c>
      <c r="G78" s="480"/>
      <c r="H78" s="479">
        <f>'AER_SVX 07_26'!E4</f>
        <v>13.763886130675839</v>
      </c>
      <c r="I78" s="480"/>
      <c r="J78" s="479">
        <f>'AER_SVX 07_26'!G4</f>
        <v>1.1676409026402896</v>
      </c>
      <c r="K78" s="480"/>
      <c r="L78" s="93">
        <f t="shared" si="9"/>
        <v>162.59037707916093</v>
      </c>
      <c r="M78" s="93">
        <f t="shared" si="10"/>
        <v>2237.8754360612179</v>
      </c>
      <c r="N78" s="93">
        <f t="shared" si="11"/>
        <v>419.18308404786399</v>
      </c>
      <c r="O78" s="94">
        <v>359</v>
      </c>
      <c r="P78" s="488"/>
      <c r="Q78" s="488"/>
      <c r="R78" s="488"/>
    </row>
    <row r="79" spans="1:18" ht="16.5" hidden="1">
      <c r="A79" s="488"/>
      <c r="B79" s="488"/>
      <c r="C79" s="91"/>
      <c r="D79" s="92" t="str">
        <f>'AER_SGC 06_26'!A4</f>
        <v>AER</v>
      </c>
      <c r="E79" s="92" t="str">
        <f>'AER_SGC 06_26'!B4</f>
        <v>SGC</v>
      </c>
      <c r="F79" s="479">
        <f>'AER_SGC 06_26'!C4</f>
        <v>0.41192655580484328</v>
      </c>
      <c r="G79" s="480"/>
      <c r="H79" s="479">
        <f>'AER_SGC 06_26'!E4</f>
        <v>14.172382630919216</v>
      </c>
      <c r="I79" s="480"/>
      <c r="J79" s="479">
        <f>'AER_SGC 06_26'!G4</f>
        <v>1.333053245780677</v>
      </c>
      <c r="K79" s="480"/>
      <c r="L79" s="93">
        <f t="shared" si="9"/>
        <v>48.607333584971506</v>
      </c>
      <c r="M79" s="93">
        <f t="shared" si="10"/>
        <v>688.88173023494642</v>
      </c>
      <c r="N79" s="93">
        <f t="shared" si="11"/>
        <v>157.30028300211987</v>
      </c>
      <c r="O79" s="94">
        <v>118</v>
      </c>
      <c r="P79" s="488"/>
      <c r="Q79" s="488"/>
      <c r="R79" s="488"/>
    </row>
    <row r="80" spans="1:18" ht="16.5" hidden="1">
      <c r="A80" s="488"/>
      <c r="B80" s="488"/>
      <c r="C80" s="91"/>
      <c r="D80" s="92" t="str">
        <f>'AER_SKX 09_23'!A4</f>
        <v>AER</v>
      </c>
      <c r="E80" s="92" t="str">
        <f>'AER_SKX 09_23'!B4</f>
        <v>SKX</v>
      </c>
      <c r="F80" s="479">
        <f>'AER_SKX 09_23'!C4</f>
        <v>0.73513021555578018</v>
      </c>
      <c r="G80" s="480"/>
      <c r="H80" s="479">
        <f>'AER_SKX 09_23'!E4</f>
        <v>13.262528791274496</v>
      </c>
      <c r="I80" s="480"/>
      <c r="J80" s="479">
        <f>'AER_SKX 09_23'!G4</f>
        <v>2.0286172276342658</v>
      </c>
      <c r="K80" s="480"/>
      <c r="L80" s="93">
        <f t="shared" si="9"/>
        <v>88.215625866693614</v>
      </c>
      <c r="M80" s="93">
        <f t="shared" si="10"/>
        <v>1169.9622778973232</v>
      </c>
      <c r="N80" s="93">
        <f t="shared" si="11"/>
        <v>243.43406731611191</v>
      </c>
      <c r="O80" s="94">
        <v>120</v>
      </c>
      <c r="P80" s="488"/>
      <c r="Q80" s="488"/>
      <c r="R80" s="488"/>
    </row>
    <row r="81" spans="1:18" ht="16.5" hidden="1">
      <c r="A81" s="488"/>
      <c r="B81" s="488"/>
      <c r="C81" s="91"/>
      <c r="D81" s="92" t="str">
        <f>'AER_SCW 07_26'!A4</f>
        <v>AER</v>
      </c>
      <c r="E81" s="92" t="str">
        <f>'AER_SCW 07_26'!B4</f>
        <v>SCW</v>
      </c>
      <c r="F81" s="479">
        <f>'AER_SCW 07_26'!C4</f>
        <v>0.50530540677656521</v>
      </c>
      <c r="G81" s="480"/>
      <c r="H81" s="479">
        <f>'AER_SCW 07_26'!E4</f>
        <v>13.616223777185088</v>
      </c>
      <c r="I81" s="480"/>
      <c r="J81" s="479">
        <f>'AER_SCW 07_26'!G4</f>
        <v>1.4107385871930334</v>
      </c>
      <c r="K81" s="480"/>
      <c r="L81" s="93">
        <f t="shared" si="9"/>
        <v>80.848865084250434</v>
      </c>
      <c r="M81" s="93">
        <f t="shared" si="10"/>
        <v>1100.8562391185999</v>
      </c>
      <c r="N81" s="93">
        <f t="shared" si="11"/>
        <v>225.71817395088533</v>
      </c>
      <c r="O81" s="94">
        <v>160</v>
      </c>
      <c r="P81" s="488"/>
      <c r="Q81" s="488"/>
      <c r="R81" s="488"/>
    </row>
    <row r="82" spans="1:18" ht="16.5" hidden="1">
      <c r="A82" s="488"/>
      <c r="B82" s="488"/>
      <c r="C82" s="91"/>
      <c r="D82" s="92" t="str">
        <f>'AER_TOF 07_26'!A4</f>
        <v>AER</v>
      </c>
      <c r="E82" s="92" t="str">
        <f>'AER_TOF 07_26'!B4</f>
        <v>TOF</v>
      </c>
      <c r="F82" s="479">
        <f>'AER_TOF 07_26'!C4</f>
        <v>0.4793077270523044</v>
      </c>
      <c r="G82" s="480"/>
      <c r="H82" s="479">
        <f>'AER_TOF 07_26'!E4</f>
        <v>13.972685943672833</v>
      </c>
      <c r="I82" s="480"/>
      <c r="J82" s="479">
        <f>'AER_TOF 07_26'!G4</f>
        <v>1.2103079840750337</v>
      </c>
      <c r="K82" s="480"/>
      <c r="L82" s="93">
        <f t="shared" si="9"/>
        <v>84.837467688257874</v>
      </c>
      <c r="M82" s="93">
        <f t="shared" si="10"/>
        <v>1185.4072922645189</v>
      </c>
      <c r="N82" s="93">
        <f t="shared" si="11"/>
        <v>214.22451318128097</v>
      </c>
      <c r="O82" s="94">
        <v>177</v>
      </c>
      <c r="P82" s="488"/>
      <c r="Q82" s="488"/>
      <c r="R82" s="488"/>
    </row>
    <row r="83" spans="1:18" ht="16.5" hidden="1">
      <c r="A83" s="488"/>
      <c r="B83" s="488"/>
      <c r="C83" s="91"/>
      <c r="D83" s="92" t="str">
        <f>'AER_TJM 07_26'!A4</f>
        <v>AER</v>
      </c>
      <c r="E83" s="92" t="str">
        <f>'AER_TJM 07_26'!B4</f>
        <v>TJM</v>
      </c>
      <c r="F83" s="479">
        <f>'AER_TJM 07_26'!C4</f>
        <v>0.34</v>
      </c>
      <c r="G83" s="480"/>
      <c r="H83" s="479">
        <f>'AER_TJM 07_26'!E4</f>
        <v>14.191176470588236</v>
      </c>
      <c r="I83" s="480"/>
      <c r="J83" s="479">
        <f>'AER_TJM 07_26'!G4</f>
        <v>1.175</v>
      </c>
      <c r="K83" s="480"/>
      <c r="L83" s="93">
        <f t="shared" si="9"/>
        <v>62.900000000000006</v>
      </c>
      <c r="M83" s="93">
        <f t="shared" si="10"/>
        <v>892.62500000000011</v>
      </c>
      <c r="N83" s="93">
        <f t="shared" si="11"/>
        <v>217.375</v>
      </c>
      <c r="O83" s="94">
        <v>185</v>
      </c>
      <c r="P83" s="488"/>
      <c r="Q83" s="488"/>
      <c r="R83" s="488"/>
    </row>
    <row r="84" spans="1:18" ht="16.5" hidden="1">
      <c r="A84" s="488"/>
      <c r="B84" s="488"/>
      <c r="C84" s="91"/>
      <c r="D84" s="92" t="str">
        <f>'AER_UFA 07_26'!A4</f>
        <v>AER</v>
      </c>
      <c r="E84" s="92" t="str">
        <f>'AER_UFA 07_26'!B4</f>
        <v>UFA</v>
      </c>
      <c r="F84" s="479">
        <f>'AER_UFA 07_26'!C4</f>
        <v>0.49758682156698625</v>
      </c>
      <c r="G84" s="480"/>
      <c r="H84" s="479">
        <f>'AER_UFA 07_26'!E4</f>
        <v>13.799839221153977</v>
      </c>
      <c r="I84" s="480"/>
      <c r="J84" s="479">
        <f>'AER_UFA 07_26'!G4</f>
        <v>1.2636966450692459</v>
      </c>
      <c r="K84" s="480"/>
      <c r="L84" s="93">
        <f>O84*F84</f>
        <v>170.1746929759093</v>
      </c>
      <c r="M84" s="93">
        <f t="shared" si="10"/>
        <v>2348.3834025767892</v>
      </c>
      <c r="N84" s="93">
        <f t="shared" si="11"/>
        <v>432.18425261368213</v>
      </c>
      <c r="O84" s="94">
        <v>342</v>
      </c>
      <c r="P84" s="488"/>
      <c r="Q84" s="488"/>
      <c r="R84" s="488"/>
    </row>
    <row r="85" spans="1:18" ht="16.5" hidden="1">
      <c r="A85" s="488"/>
      <c r="B85" s="488"/>
      <c r="C85" s="91"/>
      <c r="D85" s="92" t="str">
        <f>'AER_ULV 07_26'!A4</f>
        <v>AER</v>
      </c>
      <c r="E85" s="92" t="str">
        <f>'AER_ULV 07_26'!B4</f>
        <v>ULV</v>
      </c>
      <c r="F85" s="479">
        <f>'AER_ULV 07_26'!C4</f>
        <v>0.38500000000000001</v>
      </c>
      <c r="G85" s="480"/>
      <c r="H85" s="479">
        <f>'AER_ULV 07_26'!E4</f>
        <v>14.974025974025974</v>
      </c>
      <c r="I85" s="480"/>
      <c r="J85" s="479">
        <f>'AER_ULV 07_26'!G4</f>
        <v>2.27</v>
      </c>
      <c r="K85" s="480"/>
      <c r="L85" s="93">
        <f t="shared" si="9"/>
        <v>65.45</v>
      </c>
      <c r="M85" s="93">
        <f t="shared" si="10"/>
        <v>980.05000000000007</v>
      </c>
      <c r="N85" s="93">
        <f t="shared" si="11"/>
        <v>385.9</v>
      </c>
      <c r="O85" s="94">
        <v>170</v>
      </c>
      <c r="P85" s="488"/>
      <c r="Q85" s="488"/>
      <c r="R85" s="488"/>
    </row>
    <row r="86" spans="1:18" ht="16.5" hidden="1">
      <c r="A86" s="488"/>
      <c r="B86" s="488"/>
      <c r="C86" s="91"/>
      <c r="D86" s="92" t="str">
        <f>'AER_REN 07_26'!A4</f>
        <v>AER</v>
      </c>
      <c r="E86" s="92" t="str">
        <f>'AER_REN 07_26'!B4</f>
        <v>REN</v>
      </c>
      <c r="F86" s="479">
        <f>'AER_REN 07_26'!C4</f>
        <v>0.5057578242000309</v>
      </c>
      <c r="G86" s="487"/>
      <c r="H86" s="479">
        <f>'AER_REN 07_26'!E4</f>
        <v>14.564036885642874</v>
      </c>
      <c r="I86" s="487"/>
      <c r="J86" s="479">
        <f>'AER_REN 07_26'!G4</f>
        <v>1.3525605621244066</v>
      </c>
      <c r="K86" s="487"/>
      <c r="L86" s="93">
        <f t="shared" si="9"/>
        <v>106.20914308200649</v>
      </c>
      <c r="M86" s="93">
        <f t="shared" si="10"/>
        <v>1546.8338774388642</v>
      </c>
      <c r="N86" s="93">
        <f t="shared" si="11"/>
        <v>284.03771804612541</v>
      </c>
      <c r="O86" s="94">
        <v>210</v>
      </c>
      <c r="P86" s="488"/>
      <c r="Q86" s="488"/>
      <c r="R86" s="488"/>
    </row>
    <row r="87" spans="1:18" ht="16.5">
      <c r="A87" s="488"/>
      <c r="B87" s="488"/>
      <c r="C87" s="91"/>
      <c r="D87" s="92" t="str">
        <f>'AER_NBC 07_26'!A4</f>
        <v>AER</v>
      </c>
      <c r="E87" s="92" t="str">
        <f>'AER_NBC 07_26'!B4</f>
        <v>NBC</v>
      </c>
      <c r="F87" s="479">
        <f>'AER_NBC 07_26'!C4</f>
        <v>0.45182848573984902</v>
      </c>
      <c r="G87" s="480"/>
      <c r="H87" s="479">
        <f>'AER_NBC 07_26'!E4</f>
        <v>13.427413544310095</v>
      </c>
      <c r="I87" s="480"/>
      <c r="J87" s="479">
        <f>'AER_NBC 07_26'!G4</f>
        <v>1.405851738082013</v>
      </c>
      <c r="K87" s="480"/>
      <c r="L87" s="93">
        <f t="shared" si="9"/>
        <v>94.432153519628443</v>
      </c>
      <c r="M87" s="93">
        <f t="shared" si="10"/>
        <v>1267.9795771878291</v>
      </c>
      <c r="N87" s="93">
        <f t="shared" si="11"/>
        <v>293.82301325914074</v>
      </c>
      <c r="O87" s="94">
        <v>209</v>
      </c>
      <c r="P87" s="488"/>
      <c r="Q87" s="488"/>
      <c r="R87" s="488"/>
    </row>
    <row r="88" spans="1:18" ht="16.5" hidden="1">
      <c r="A88" s="488"/>
      <c r="B88" s="488"/>
      <c r="C88" s="91"/>
      <c r="D88" s="92" t="e">
        <f>#REF!</f>
        <v>#REF!</v>
      </c>
      <c r="E88" s="92" t="e">
        <f>#REF!</f>
        <v>#REF!</v>
      </c>
      <c r="F88" s="479" t="e">
        <f>#REF!</f>
        <v>#REF!</v>
      </c>
      <c r="G88" s="480"/>
      <c r="H88" s="479" t="e">
        <f>#REF!</f>
        <v>#REF!</v>
      </c>
      <c r="I88" s="480"/>
      <c r="J88" s="479" t="e">
        <f>#REF!</f>
        <v>#REF!</v>
      </c>
      <c r="K88" s="480"/>
      <c r="L88" s="93" t="e">
        <f t="shared" si="9"/>
        <v>#REF!</v>
      </c>
      <c r="M88" s="93" t="e">
        <f t="shared" si="10"/>
        <v>#REF!</v>
      </c>
      <c r="N88" s="93" t="e">
        <f t="shared" si="11"/>
        <v>#REF!</v>
      </c>
      <c r="O88" s="94">
        <v>128</v>
      </c>
      <c r="P88" s="488"/>
      <c r="Q88" s="488"/>
      <c r="R88" s="488"/>
    </row>
    <row r="89" spans="1:18" ht="16.5" hidden="1">
      <c r="A89" s="488"/>
      <c r="B89" s="488"/>
      <c r="C89" s="40"/>
      <c r="D89" s="95" t="str">
        <f>'AER_MQF 07_26'!A4</f>
        <v>AER</v>
      </c>
      <c r="E89" s="95" t="str">
        <f>'AER_MQF 07_26'!B4</f>
        <v>MQF</v>
      </c>
      <c r="F89" s="479">
        <f>'AER_MQF 07_26'!C4</f>
        <v>0.39876216510099571</v>
      </c>
      <c r="G89" s="480"/>
      <c r="H89" s="479">
        <f>'AER_MQF 07_26'!E4</f>
        <v>13.73316636882149</v>
      </c>
      <c r="I89" s="480"/>
      <c r="J89" s="479">
        <f>'AER_MQF 07_26'!G4</f>
        <v>1.4872143451588731</v>
      </c>
      <c r="K89" s="480"/>
      <c r="L89" s="93">
        <f t="shared" ref="L89:L93" si="12">O89*F89</f>
        <v>64.998232911462296</v>
      </c>
      <c r="M89" s="93">
        <f t="shared" si="10"/>
        <v>892.63154625252014</v>
      </c>
      <c r="N89" s="93">
        <f t="shared" ref="N89:N94" si="13">O89*J89</f>
        <v>242.4159382608963</v>
      </c>
      <c r="O89" s="94">
        <v>163</v>
      </c>
      <c r="P89" s="488"/>
      <c r="Q89" s="488"/>
      <c r="R89" s="488"/>
    </row>
    <row r="90" spans="1:18" ht="16.5" hidden="1">
      <c r="A90" s="488"/>
      <c r="B90" s="488"/>
      <c r="C90" s="40"/>
      <c r="D90" s="95" t="str">
        <f>'REN_RGK 08_2024'!A4</f>
        <v>REN</v>
      </c>
      <c r="E90" s="95" t="str">
        <f>'REN_RGK 08_2024'!B4</f>
        <v>RGK</v>
      </c>
      <c r="F90" s="479">
        <f>'REN_RGK 08_2024'!C4</f>
        <v>0.69200002256446824</v>
      </c>
      <c r="G90" s="480"/>
      <c r="H90" s="479">
        <f>'REN_RGK 08_2024'!E4</f>
        <v>10.673025036170964</v>
      </c>
      <c r="I90" s="480"/>
      <c r="J90" s="479">
        <f>'REN_RGK 08_2024'!G4</f>
        <v>1.9775200099641341</v>
      </c>
      <c r="K90" s="480"/>
      <c r="L90" s="93">
        <f t="shared" si="12"/>
        <v>25.604000834885326</v>
      </c>
      <c r="M90" s="93">
        <f>L90*H90</f>
        <v>273.27214193687337</v>
      </c>
      <c r="N90" s="93">
        <f t="shared" si="13"/>
        <v>73.168240368672969</v>
      </c>
      <c r="O90" s="94">
        <v>37</v>
      </c>
      <c r="P90" s="488"/>
      <c r="Q90" s="488"/>
      <c r="R90" s="488"/>
    </row>
    <row r="91" spans="1:18" ht="16.5" hidden="1">
      <c r="A91" s="488"/>
      <c r="B91" s="488"/>
      <c r="C91" s="40" t="s">
        <v>118</v>
      </c>
      <c r="D91" s="95" t="str">
        <f>'REN84_SVO 10_2024'!A4</f>
        <v>REN</v>
      </c>
      <c r="E91" s="95" t="str">
        <f>'REN84_SVO 10_2024'!B4</f>
        <v>SVO</v>
      </c>
      <c r="F91" s="479">
        <f>'REN84_SVO 10_2024'!C4</f>
        <v>0.14799139045462573</v>
      </c>
      <c r="G91" s="480"/>
      <c r="H91" s="479">
        <f>'REN84_SVO 10_2024'!E4</f>
        <v>13.830783081652646</v>
      </c>
      <c r="I91" s="480"/>
      <c r="J91" s="479">
        <f>'REN84_SVO 10_2024'!G4</f>
        <v>2.1394735812015222</v>
      </c>
      <c r="K91" s="480"/>
      <c r="L91" s="93">
        <f t="shared" si="12"/>
        <v>26.046484720014128</v>
      </c>
      <c r="M91" s="93">
        <f t="shared" si="10"/>
        <v>360.24328020209555</v>
      </c>
      <c r="N91" s="93">
        <f t="shared" si="13"/>
        <v>376.54735029146792</v>
      </c>
      <c r="O91" s="94">
        <v>176</v>
      </c>
      <c r="P91" s="488"/>
      <c r="Q91" s="488"/>
      <c r="R91" s="488"/>
    </row>
    <row r="92" spans="1:18" ht="16.5" hidden="1">
      <c r="A92" s="488"/>
      <c r="B92" s="488"/>
      <c r="C92" s="40"/>
      <c r="D92" s="95" t="str">
        <f>'REN_KZN 03_2025'!A4</f>
        <v>REN</v>
      </c>
      <c r="E92" s="95" t="str">
        <f>'REN_KZN 03_2025'!B4</f>
        <v>KZN</v>
      </c>
      <c r="F92" s="489">
        <f>'REN_KZN 03_2025'!C4</f>
        <v>0.61798839458413923</v>
      </c>
      <c r="G92" s="489"/>
      <c r="H92" s="489">
        <f>'REN_KZN 03_2025'!E4</f>
        <v>10.909825870646765</v>
      </c>
      <c r="I92" s="489"/>
      <c r="J92" s="489">
        <f>'REN_KZN 03_2025'!G4</f>
        <v>1.3153879217709006</v>
      </c>
      <c r="K92" s="489"/>
      <c r="L92" s="93">
        <f>O92*F92</f>
        <v>130.39555125725337</v>
      </c>
      <c r="M92" s="93">
        <f t="shared" si="10"/>
        <v>1422.5927585236291</v>
      </c>
      <c r="N92" s="93">
        <f>O92*J92</f>
        <v>277.54685149366003</v>
      </c>
      <c r="O92" s="94">
        <v>211</v>
      </c>
      <c r="P92" s="488"/>
      <c r="Q92" s="488"/>
      <c r="R92" s="488"/>
    </row>
    <row r="93" spans="1:18" ht="16.5" hidden="1">
      <c r="A93" s="488"/>
      <c r="B93" s="488"/>
      <c r="C93" s="40"/>
      <c r="D93" s="95" t="str">
        <f>'AER_VOG 10_25'!A4</f>
        <v>AER</v>
      </c>
      <c r="E93" s="95" t="str">
        <f>'AER_VOG 10_25'!B4</f>
        <v>VOG</v>
      </c>
      <c r="F93" s="489">
        <f>'AER_VOG 10_25'!C4</f>
        <v>0.61339251546184437</v>
      </c>
      <c r="G93" s="489"/>
      <c r="H93" s="489">
        <f>'AER_VOG 10_25'!E4</f>
        <v>13.444720339418859</v>
      </c>
      <c r="I93" s="489"/>
      <c r="J93" s="489">
        <f>'AER_VOG 10_25'!G4</f>
        <v>2.3558983303665642</v>
      </c>
      <c r="K93" s="489"/>
      <c r="L93" s="93">
        <f t="shared" si="12"/>
        <v>67.473176700802881</v>
      </c>
      <c r="M93" s="93">
        <f>L93*H93</f>
        <v>907.15799115448715</v>
      </c>
      <c r="N93" s="93">
        <f t="shared" si="13"/>
        <v>259.14881634032207</v>
      </c>
      <c r="O93" s="94">
        <v>110</v>
      </c>
      <c r="P93" s="488"/>
      <c r="Q93" s="488"/>
      <c r="R93" s="488"/>
    </row>
    <row r="94" spans="1:18" ht="16.5" hidden="1">
      <c r="A94" s="488"/>
      <c r="B94" s="488"/>
      <c r="C94" s="40"/>
      <c r="D94" s="200" t="str">
        <f>'AER_OSW 07_26'!A4</f>
        <v>AER</v>
      </c>
      <c r="E94" s="95" t="str">
        <f>'AER_OSW 07_26'!B4</f>
        <v>OSW</v>
      </c>
      <c r="F94" s="489">
        <f>'AER_OSW 07_26'!C4</f>
        <v>0.55776868710430016</v>
      </c>
      <c r="G94" s="489"/>
      <c r="H94" s="489">
        <f>'AER_OSW 07_26'!E4</f>
        <v>13.716482276762475</v>
      </c>
      <c r="I94" s="489"/>
      <c r="J94" s="489">
        <f>'AER_OSW 07_26'!G4</f>
        <v>1.7036661824664594</v>
      </c>
      <c r="K94" s="489"/>
      <c r="L94" s="93">
        <f>O94*F94</f>
        <v>45.179263655448317</v>
      </c>
      <c r="M94" s="93">
        <f>L94*H94</f>
        <v>619.70056920713591</v>
      </c>
      <c r="N94" s="93">
        <f t="shared" si="13"/>
        <v>137.99696077978322</v>
      </c>
      <c r="O94" s="94">
        <v>81</v>
      </c>
      <c r="P94" s="488"/>
      <c r="Q94" s="488"/>
      <c r="R94" s="488"/>
    </row>
    <row r="95" spans="1:18" ht="16.5">
      <c r="A95" s="488"/>
      <c r="B95" s="488"/>
      <c r="C95" s="40"/>
      <c r="D95" s="95" t="str">
        <f>'SUI_GOJ 07_26'!A4</f>
        <v>SUI</v>
      </c>
      <c r="E95" s="95" t="str">
        <f>'SUI_GOJ 07_26'!B4</f>
        <v>GOJ</v>
      </c>
      <c r="F95" s="489">
        <f>'SUI_GOJ 07_26'!C4</f>
        <v>0.59712276214833759</v>
      </c>
      <c r="G95" s="489"/>
      <c r="H95" s="489">
        <f>'SUI_GOJ 07_26'!E4</f>
        <v>14.692210602235846</v>
      </c>
      <c r="I95" s="489"/>
      <c r="J95" s="489">
        <f>'SUI_GOJ 07_26'!G4</f>
        <v>3.1426470588235293</v>
      </c>
      <c r="K95" s="489"/>
      <c r="L95" s="93">
        <f>O95*F95</f>
        <v>42.395716112531971</v>
      </c>
      <c r="M95" s="93">
        <f>L95*H95</f>
        <v>622.88678975792334</v>
      </c>
      <c r="N95" s="93">
        <f>O95*J95</f>
        <v>223.12794117647059</v>
      </c>
      <c r="O95" s="94">
        <v>71</v>
      </c>
      <c r="P95" s="488"/>
      <c r="Q95" s="488"/>
      <c r="R95" s="488"/>
    </row>
    <row r="96" spans="1:18" ht="16.5" hidden="1">
      <c r="A96" s="488"/>
      <c r="B96" s="488"/>
      <c r="C96" s="40"/>
      <c r="D96" s="95" t="str">
        <f>'KQT_KZN 07_2026'!A4</f>
        <v>KQT</v>
      </c>
      <c r="E96" s="95" t="str">
        <f>'KQT_KZN 07_2026'!B4</f>
        <v>KZN</v>
      </c>
      <c r="F96" s="489">
        <f>'KQT_KZN 07_2026'!C4</f>
        <v>0.88459057130081464</v>
      </c>
      <c r="G96" s="489"/>
      <c r="H96" s="489">
        <f>'KQT_KZN 07_2026'!E4</f>
        <v>13.366109828401203</v>
      </c>
      <c r="I96" s="489"/>
      <c r="J96" s="489">
        <f>'KQT_KZN 07_2026'!G4</f>
        <v>2.4906018230392708</v>
      </c>
      <c r="K96" s="489"/>
      <c r="L96" s="93">
        <f>O96*F96</f>
        <v>163.6492556906507</v>
      </c>
      <c r="M96" s="93">
        <f t="shared" ref="M96:M117" si="14">L96*H96</f>
        <v>2187.353924897348</v>
      </c>
      <c r="N96" s="93">
        <f>O96*J96</f>
        <v>460.7613372622651</v>
      </c>
      <c r="O96" s="94">
        <v>185</v>
      </c>
      <c r="P96" s="488"/>
      <c r="Q96" s="488"/>
      <c r="R96" s="488"/>
    </row>
    <row r="97" spans="1:18" ht="16.5" hidden="1">
      <c r="A97" s="488"/>
      <c r="B97" s="488"/>
      <c r="C97" s="40"/>
      <c r="D97" s="95" t="str">
        <f>'SSH_OMS 01_26'!A4</f>
        <v>SSH</v>
      </c>
      <c r="E97" s="95" t="str">
        <f>'SSH_OMS 01_26'!B4</f>
        <v>OMS</v>
      </c>
      <c r="F97" s="489">
        <f>'SSH_OMS 01_26'!C4</f>
        <v>0.73832329866812629</v>
      </c>
      <c r="G97" s="489"/>
      <c r="H97" s="489">
        <f>'SSH_OMS 01_26'!E4</f>
        <v>12.290636042402827</v>
      </c>
      <c r="I97" s="489"/>
      <c r="J97" s="489">
        <f>'SSH_OMS 01_26'!G4</f>
        <v>3</v>
      </c>
      <c r="K97" s="489"/>
      <c r="L97" s="93">
        <f t="shared" ref="L97:L104" si="15">O97*F97</f>
        <v>279.08620689655174</v>
      </c>
      <c r="M97" s="93">
        <f t="shared" si="14"/>
        <v>3430.1469934202514</v>
      </c>
      <c r="N97" s="93">
        <f t="shared" ref="N97:N106" si="16">O97*J97</f>
        <v>1134</v>
      </c>
      <c r="O97" s="94">
        <v>378</v>
      </c>
      <c r="P97" s="488"/>
      <c r="Q97" s="488"/>
      <c r="R97" s="488"/>
    </row>
    <row r="98" spans="1:18" ht="16.5" hidden="1">
      <c r="A98" s="488"/>
      <c r="B98" s="488"/>
      <c r="C98" s="40"/>
      <c r="D98" s="95" t="str">
        <f>'SSH_PEE 01_26'!A4</f>
        <v>SSH</v>
      </c>
      <c r="E98" s="95" t="str">
        <f>'SSH_PEE 01_26'!B4</f>
        <v>PEE</v>
      </c>
      <c r="F98" s="489">
        <f>'SSH_PEE 01_26'!C4</f>
        <v>0.75384402615639945</v>
      </c>
      <c r="G98" s="489"/>
      <c r="H98" s="489">
        <f>'SSH_PEE 01_26'!E4</f>
        <v>11.587006626332469</v>
      </c>
      <c r="I98" s="489"/>
      <c r="J98" s="489">
        <f>'SSH_PEE 01_26'!G4</f>
        <v>3</v>
      </c>
      <c r="K98" s="489"/>
      <c r="L98" s="93">
        <f t="shared" si="15"/>
        <v>230.67627200385823</v>
      </c>
      <c r="M98" s="93">
        <f t="shared" si="14"/>
        <v>2672.8474922463765</v>
      </c>
      <c r="N98" s="93">
        <f t="shared" si="16"/>
        <v>918</v>
      </c>
      <c r="O98" s="94">
        <v>306</v>
      </c>
      <c r="P98" s="488"/>
      <c r="Q98" s="488"/>
      <c r="R98" s="488"/>
    </row>
    <row r="99" spans="1:18" ht="16.5" hidden="1">
      <c r="A99" s="488"/>
      <c r="B99" s="488"/>
      <c r="C99" s="40"/>
      <c r="D99" s="95" t="str">
        <f>'SSH_TJM 01_26'!A4</f>
        <v>SSH</v>
      </c>
      <c r="E99" s="95" t="str">
        <f>'SSH_TJM 01_26'!B4</f>
        <v>TJM</v>
      </c>
      <c r="F99" s="489">
        <f>'SSH_TJM 01_26'!C4</f>
        <v>0.73584748584748583</v>
      </c>
      <c r="G99" s="489"/>
      <c r="H99" s="489">
        <f>'SSH_TJM 01_26'!E4</f>
        <v>11.809044882320745</v>
      </c>
      <c r="I99" s="489"/>
      <c r="J99" s="489">
        <f>'SSH_TJM 01_26'!G4</f>
        <v>3</v>
      </c>
      <c r="K99" s="489"/>
      <c r="L99" s="93">
        <f t="shared" si="15"/>
        <v>278.15034965034965</v>
      </c>
      <c r="M99" s="93">
        <f t="shared" si="14"/>
        <v>3284.6899630541875</v>
      </c>
      <c r="N99" s="93">
        <f t="shared" si="16"/>
        <v>1134</v>
      </c>
      <c r="O99" s="94">
        <v>378</v>
      </c>
      <c r="P99" s="488"/>
      <c r="Q99" s="488"/>
      <c r="R99" s="488"/>
    </row>
    <row r="100" spans="1:18" ht="16.5" hidden="1">
      <c r="A100" s="488"/>
      <c r="B100" s="488"/>
      <c r="C100" s="40"/>
      <c r="D100" s="95" t="str">
        <f>'AER_AYT 10_25'!A4</f>
        <v>AER</v>
      </c>
      <c r="E100" s="95" t="str">
        <f>'AER_AYT 10_25'!B4</f>
        <v>AYT</v>
      </c>
      <c r="F100" s="489">
        <f>'AER_AYT 10_25'!C4</f>
        <v>0.89830508474576276</v>
      </c>
      <c r="G100" s="489"/>
      <c r="H100" s="489">
        <f>'AER_AYT 10_25'!E4</f>
        <v>12.056603773584905</v>
      </c>
      <c r="I100" s="489"/>
      <c r="J100" s="489">
        <f>'AER_AYT 10_25'!G4</f>
        <v>2.2203389830508473</v>
      </c>
      <c r="K100" s="489"/>
      <c r="L100" s="93">
        <f t="shared" si="15"/>
        <v>53</v>
      </c>
      <c r="M100" s="93">
        <f t="shared" si="14"/>
        <v>639</v>
      </c>
      <c r="N100" s="93">
        <f t="shared" si="16"/>
        <v>131</v>
      </c>
      <c r="O100" s="94">
        <v>59</v>
      </c>
      <c r="P100" s="488"/>
      <c r="Q100" s="488"/>
      <c r="R100" s="488"/>
    </row>
    <row r="101" spans="1:18" ht="16.5" hidden="1">
      <c r="A101" s="488"/>
      <c r="B101" s="488"/>
      <c r="C101" s="40" t="s">
        <v>130</v>
      </c>
      <c r="D101" s="95" t="str">
        <f>'VRA_SVO 6102 12_2025'!A4</f>
        <v>VRA</v>
      </c>
      <c r="E101" s="95" t="str">
        <f>'VRA_SVO 6102 12_2025'!B4</f>
        <v>SVO</v>
      </c>
      <c r="F101" s="489">
        <f>'VRA_SVO 6102 12_2025'!C4</f>
        <v>0.94933333333333336</v>
      </c>
      <c r="G101" s="489"/>
      <c r="H101" s="489">
        <f>'VRA_SVO 6102 12_2025'!E4</f>
        <v>17.865168539325843</v>
      </c>
      <c r="I101" s="489"/>
      <c r="J101" s="489">
        <f>'VRA_SVO 6102 12_2025'!G4</f>
        <v>0</v>
      </c>
      <c r="K101" s="489"/>
      <c r="L101" s="93">
        <f t="shared" si="15"/>
        <v>356</v>
      </c>
      <c r="M101" s="93">
        <f t="shared" si="14"/>
        <v>6360</v>
      </c>
      <c r="N101" s="93">
        <f t="shared" si="16"/>
        <v>0</v>
      </c>
      <c r="O101" s="94">
        <v>375</v>
      </c>
      <c r="P101" s="488"/>
      <c r="Q101" s="488"/>
      <c r="R101" s="488"/>
    </row>
    <row r="102" spans="1:18" ht="16.5" hidden="1">
      <c r="A102" s="488"/>
      <c r="B102" s="488"/>
      <c r="C102" s="40"/>
      <c r="D102" s="95" t="str">
        <f>'REN_MQF 10_2025'!A4</f>
        <v>REN</v>
      </c>
      <c r="E102" s="95" t="str">
        <f>'REN_MQF 10_2025'!B4</f>
        <v>MQF</v>
      </c>
      <c r="F102" s="489">
        <f>'REN_MQF 10_2025'!C4</f>
        <v>0.42727272727272725</v>
      </c>
      <c r="G102" s="489"/>
      <c r="H102" s="489">
        <f>'REN_MQF 10_2025'!E4</f>
        <v>12.382978723404255</v>
      </c>
      <c r="I102" s="489"/>
      <c r="J102" s="489">
        <f>'REN_MQF 10_2025'!G4</f>
        <v>0</v>
      </c>
      <c r="K102" s="489"/>
      <c r="L102" s="42">
        <f t="shared" si="15"/>
        <v>47</v>
      </c>
      <c r="M102" s="42">
        <f t="shared" si="14"/>
        <v>582</v>
      </c>
      <c r="N102" s="42">
        <f t="shared" si="16"/>
        <v>0</v>
      </c>
      <c r="O102" s="94">
        <v>110</v>
      </c>
      <c r="P102" s="488"/>
      <c r="Q102" s="488"/>
      <c r="R102" s="488"/>
    </row>
    <row r="103" spans="1:18" ht="16.5" hidden="1">
      <c r="C103" s="40"/>
      <c r="D103" s="95" t="str">
        <f>'SSH_MRV 01_26'!A4</f>
        <v>SSH</v>
      </c>
      <c r="E103" s="95" t="str">
        <f>'SSH_MRV 01_26'!B4</f>
        <v>MRV</v>
      </c>
      <c r="F103" s="489">
        <f>'SSH_MRV 01_26'!C4</f>
        <v>0.7714266942610295</v>
      </c>
      <c r="G103" s="489"/>
      <c r="H103" s="489">
        <f>'SSH_MRV 01_26'!E4</f>
        <v>12.364118719946941</v>
      </c>
      <c r="I103" s="489"/>
      <c r="J103" s="489">
        <f>'SSH_MRV 01_26'!G4</f>
        <v>3</v>
      </c>
      <c r="K103" s="489"/>
      <c r="L103" s="93">
        <f t="shared" si="15"/>
        <v>115.71400413915443</v>
      </c>
      <c r="M103" s="93">
        <f t="shared" si="14"/>
        <v>1430.7016847369371</v>
      </c>
      <c r="N103" s="93">
        <f t="shared" si="16"/>
        <v>450</v>
      </c>
      <c r="O103" s="94">
        <v>150</v>
      </c>
      <c r="P103" s="488"/>
      <c r="Q103" s="488"/>
      <c r="R103" s="488"/>
    </row>
    <row r="104" spans="1:18" ht="16.5" hidden="1">
      <c r="C104" s="40"/>
      <c r="D104" s="41" t="str">
        <f>'LBD_TJM 05_26'!A4</f>
        <v>LBD</v>
      </c>
      <c r="E104" s="41" t="str">
        <f>'LBD_TJM 05_26'!B4</f>
        <v>TJM</v>
      </c>
      <c r="F104" s="489">
        <f>'LBD_TJM 05_26'!C4</f>
        <v>0.90062111801242239</v>
      </c>
      <c r="G104" s="489"/>
      <c r="H104" s="489">
        <f>'LBD_TJM 05_26'!E4</f>
        <v>15.247564935064934</v>
      </c>
      <c r="I104" s="489"/>
      <c r="J104" s="489">
        <f>'LBD_TJM 05_26'!G4</f>
        <v>1.956133540372671</v>
      </c>
      <c r="K104" s="489"/>
      <c r="L104" s="93">
        <f t="shared" si="15"/>
        <v>159.40993788819875</v>
      </c>
      <c r="M104" s="93">
        <f t="shared" si="14"/>
        <v>2430.6133792449787</v>
      </c>
      <c r="N104" s="93">
        <f t="shared" si="16"/>
        <v>346.23563664596276</v>
      </c>
      <c r="O104" s="94">
        <v>177</v>
      </c>
      <c r="P104" s="488"/>
      <c r="Q104" s="488"/>
      <c r="R104" s="488"/>
    </row>
    <row r="105" spans="1:18" ht="16.5" hidden="1">
      <c r="C105" s="40"/>
      <c r="D105" s="41" t="str">
        <f>'DYU_TJM 07_2026'!A4</f>
        <v>DYU</v>
      </c>
      <c r="E105" s="41" t="str">
        <f>'DYU_TJM 07_2026'!B4</f>
        <v>TJM</v>
      </c>
      <c r="F105" s="489">
        <f>'DYU_TJM 07_2026'!C4</f>
        <v>0.79911642411642414</v>
      </c>
      <c r="G105" s="489"/>
      <c r="H105" s="489">
        <f>'DYU_TJM 07_2026'!E4</f>
        <v>14.158424908424909</v>
      </c>
      <c r="I105" s="489"/>
      <c r="J105" s="489">
        <f>'DYU_TJM 07_2026'!G4</f>
        <v>1.482934857934858</v>
      </c>
      <c r="K105" s="489"/>
      <c r="L105" s="93">
        <f t="shared" ref="L105:L111" si="17">O105*F105</f>
        <v>117.47011434511435</v>
      </c>
      <c r="M105" s="93">
        <f t="shared" si="14"/>
        <v>1663.1917929393892</v>
      </c>
      <c r="N105" s="93">
        <f>O105*J105</f>
        <v>217.99142411642413</v>
      </c>
      <c r="O105" s="94">
        <v>147</v>
      </c>
      <c r="P105" s="488"/>
      <c r="Q105" s="488"/>
      <c r="R105" s="488"/>
    </row>
    <row r="106" spans="1:18" ht="16.5" hidden="1">
      <c r="C106" s="40"/>
      <c r="D106" s="41" t="str">
        <f>'HOG_SVO 02_26'!A4</f>
        <v>HOG</v>
      </c>
      <c r="E106" s="41" t="str">
        <f>'HOG_SVO 02_26'!B4</f>
        <v>SVO</v>
      </c>
      <c r="F106" s="489">
        <f>'HOG_SVO 02_26'!C4</f>
        <v>0.76638058324104841</v>
      </c>
      <c r="G106" s="489"/>
      <c r="H106" s="489">
        <f>'HOG_SVO 02_26'!E4</f>
        <v>12.843582887700535</v>
      </c>
      <c r="I106" s="489"/>
      <c r="J106" s="489">
        <f>'HOG_SVO 02_26'!G4</f>
        <v>0</v>
      </c>
      <c r="K106" s="489"/>
      <c r="L106" s="93">
        <f t="shared" si="17"/>
        <v>386.25581395348837</v>
      </c>
      <c r="M106" s="93">
        <f t="shared" si="14"/>
        <v>4960.9085623678648</v>
      </c>
      <c r="N106" s="93">
        <f t="shared" si="16"/>
        <v>0</v>
      </c>
      <c r="O106" s="94">
        <v>504</v>
      </c>
      <c r="P106" s="488"/>
      <c r="Q106" s="488"/>
      <c r="R106" s="488"/>
    </row>
    <row r="107" spans="1:18" ht="16.5" hidden="1">
      <c r="C107" s="40"/>
      <c r="D107" s="41" t="str">
        <f>'UTP_KJA 04_2026'!A4</f>
        <v>UTP</v>
      </c>
      <c r="E107" s="41" t="str">
        <f>'UTP_KJA 04_2026'!B4</f>
        <v>KJA</v>
      </c>
      <c r="F107" s="489">
        <f>'UTP_KJA 04_2026'!C4</f>
        <v>0.80481283422459893</v>
      </c>
      <c r="G107" s="489"/>
      <c r="H107" s="489">
        <f>'UTP_KJA 04_2026'!E4</f>
        <v>13.534883720930232</v>
      </c>
      <c r="I107" s="489"/>
      <c r="J107" s="489">
        <f>'UTP_KJA 04_2026'!G4</f>
        <v>0</v>
      </c>
      <c r="K107" s="489"/>
      <c r="L107" s="93">
        <f t="shared" si="17"/>
        <v>305.02406417112297</v>
      </c>
      <c r="M107" s="93">
        <f t="shared" si="14"/>
        <v>4128.4652406417108</v>
      </c>
      <c r="N107" s="93">
        <f>O107*J107</f>
        <v>0</v>
      </c>
      <c r="O107" s="94">
        <v>379</v>
      </c>
      <c r="P107" s="488"/>
      <c r="Q107" s="488"/>
      <c r="R107" s="488"/>
    </row>
    <row r="108" spans="1:18" ht="16.5" hidden="1">
      <c r="C108" s="40"/>
      <c r="D108" s="41" t="str">
        <f>'AER_KUF 07_26'!A4</f>
        <v>AER</v>
      </c>
      <c r="E108" s="41" t="str">
        <f>'AER_KUF 07_26'!B4</f>
        <v>KUF</v>
      </c>
      <c r="F108" s="489">
        <f>'AER_KUF 07_26'!C4</f>
        <v>0.4854368932038835</v>
      </c>
      <c r="G108" s="489"/>
      <c r="H108" s="489">
        <f>'AER_KUF 07_26'!E4</f>
        <v>13.24</v>
      </c>
      <c r="I108" s="489"/>
      <c r="J108" s="489">
        <f>'AER_KUF 07_26'!G4</f>
        <v>1.6699029126213591</v>
      </c>
      <c r="K108" s="489"/>
      <c r="L108" s="93">
        <f t="shared" si="17"/>
        <v>88.834951456310677</v>
      </c>
      <c r="M108" s="93">
        <f t="shared" si="14"/>
        <v>1176.1747572815534</v>
      </c>
      <c r="N108" s="93">
        <f>O108*J108</f>
        <v>305.59223300970871</v>
      </c>
      <c r="O108" s="94">
        <v>183</v>
      </c>
      <c r="P108" s="488"/>
      <c r="Q108" s="488"/>
      <c r="R108" s="488"/>
    </row>
    <row r="109" spans="1:18" ht="16.5" hidden="1">
      <c r="C109" s="40"/>
      <c r="D109" s="41" t="str">
        <f>'UTP_SVX 04_26'!A4</f>
        <v>UTP</v>
      </c>
      <c r="E109" s="41" t="str">
        <f>'UTP_SVX 04_26'!B4</f>
        <v>SVX</v>
      </c>
      <c r="F109" s="489">
        <f>'UTP_SVX 04_26'!C4</f>
        <v>0.79947229551451182</v>
      </c>
      <c r="G109" s="489"/>
      <c r="H109" s="489">
        <f>'UTP_SVX 04_26'!E4</f>
        <v>13.267326732673267</v>
      </c>
      <c r="I109" s="489"/>
      <c r="J109" s="489">
        <f>'UTP_SVX 04_26'!G4</f>
        <v>0</v>
      </c>
      <c r="K109" s="489"/>
      <c r="L109" s="93">
        <f>O109*F109</f>
        <v>303</v>
      </c>
      <c r="M109" s="93">
        <f t="shared" si="14"/>
        <v>4020</v>
      </c>
      <c r="N109" s="93">
        <f>O109*J109</f>
        <v>0</v>
      </c>
      <c r="O109" s="94">
        <v>379</v>
      </c>
      <c r="P109" s="488"/>
      <c r="Q109" s="488"/>
      <c r="R109" s="488"/>
    </row>
    <row r="110" spans="1:18" ht="16.5" hidden="1">
      <c r="C110" s="40"/>
      <c r="D110" s="41" t="str">
        <f>'UTP_OVB 04_2026'!A4</f>
        <v>UTP</v>
      </c>
      <c r="E110" s="41" t="str">
        <f>'UTP_OVB 04_2026'!B4</f>
        <v>OVB</v>
      </c>
      <c r="F110" s="489">
        <f>'UTP_OVB 04_2026'!C4</f>
        <v>0.86286898827344427</v>
      </c>
      <c r="G110" s="489"/>
      <c r="H110" s="489">
        <f>'UTP_OVB 04_2026'!E4</f>
        <v>13.684456821313734</v>
      </c>
      <c r="I110" s="489"/>
      <c r="J110" s="489">
        <f>'UTP_OVB 04_2026'!G4</f>
        <v>0</v>
      </c>
      <c r="K110" s="489"/>
      <c r="L110" s="93">
        <f t="shared" si="17"/>
        <v>324.43873959081503</v>
      </c>
      <c r="M110" s="93">
        <f t="shared" si="14"/>
        <v>4439.7679230919593</v>
      </c>
      <c r="N110" s="43">
        <f>O57*J57</f>
        <v>1134</v>
      </c>
      <c r="O110" s="94">
        <v>376</v>
      </c>
      <c r="P110" s="488"/>
      <c r="Q110" s="488"/>
      <c r="R110" s="488"/>
    </row>
    <row r="111" spans="1:18" ht="16.5" hidden="1">
      <c r="C111" s="40"/>
      <c r="D111" s="41" t="str">
        <f>'SSH_UFA 01_2026'!A4</f>
        <v>SSH</v>
      </c>
      <c r="E111" s="41" t="str">
        <f>'SSH_UFA 01_2026'!B4</f>
        <v>UFA</v>
      </c>
      <c r="F111" s="489">
        <f>'SSH_UFA 01_2026'!C4</f>
        <v>0.75498933363274012</v>
      </c>
      <c r="G111" s="489"/>
      <c r="H111" s="489">
        <f>'SSH_KZN 01_2026'!E4</f>
        <v>12.057066039919519</v>
      </c>
      <c r="I111" s="489"/>
      <c r="J111" s="489">
        <f>'SSH_UFA 01_2026'!G4</f>
        <v>3</v>
      </c>
      <c r="K111" s="489"/>
      <c r="L111" s="93">
        <f t="shared" si="17"/>
        <v>286.1409574468085</v>
      </c>
      <c r="M111" s="93">
        <f t="shared" si="14"/>
        <v>3450.020420661971</v>
      </c>
      <c r="N111" s="93">
        <f>O111*J111</f>
        <v>1137</v>
      </c>
      <c r="O111" s="94">
        <v>379</v>
      </c>
      <c r="P111" s="488"/>
      <c r="Q111" s="488"/>
      <c r="R111" s="488"/>
    </row>
    <row r="112" spans="1:18" ht="16.5" hidden="1">
      <c r="C112" s="40"/>
      <c r="D112" s="41" t="str">
        <f>'UTP_SVO 01_26'!A4</f>
        <v>UTP</v>
      </c>
      <c r="E112" s="41" t="str">
        <f>'UTP_SVO 01_26'!B4</f>
        <v>SVO</v>
      </c>
      <c r="F112" s="489">
        <f>'UTP_SVO 01_26'!C4</f>
        <v>0.81606269200136539</v>
      </c>
      <c r="G112" s="489"/>
      <c r="H112" s="489">
        <f>'UTP_SVO 01_26'!E4</f>
        <v>14.012407557816442</v>
      </c>
      <c r="I112" s="489"/>
      <c r="J112" s="489">
        <f>'UTP_SVO 01_26'!G4</f>
        <v>0</v>
      </c>
      <c r="K112" s="489"/>
      <c r="L112" s="93">
        <f>O112*F112</f>
        <v>309.2877602685175</v>
      </c>
      <c r="M112" s="93">
        <f t="shared" si="14"/>
        <v>4333.8661495266942</v>
      </c>
      <c r="N112" s="93">
        <f>O112*J112</f>
        <v>0</v>
      </c>
      <c r="O112" s="94">
        <v>379</v>
      </c>
      <c r="P112" s="488"/>
      <c r="Q112" s="488"/>
      <c r="R112" s="488"/>
    </row>
    <row r="113" spans="3:15" ht="16.5" hidden="1">
      <c r="C113" s="40"/>
      <c r="D113" s="41" t="str">
        <f>'GOX_SVO 03_26'!A4</f>
        <v>GOX</v>
      </c>
      <c r="E113" s="41" t="str">
        <f>'GOX_SVO 03_26'!B4</f>
        <v>SVO</v>
      </c>
      <c r="F113" s="489">
        <f>'GOX_SVO 03_26'!C4</f>
        <v>0.85904255319148937</v>
      </c>
      <c r="G113" s="489"/>
      <c r="H113" s="489">
        <f>'GOX_SVO 03_26'!E4</f>
        <v>13.284829721362229</v>
      </c>
      <c r="I113" s="489"/>
      <c r="J113" s="489">
        <f>'GOX_SVO 03_26'!G4</f>
        <v>3</v>
      </c>
      <c r="K113" s="489"/>
      <c r="L113" s="93">
        <f>O113*F113</f>
        <v>316.12765957446811</v>
      </c>
      <c r="M113" s="93">
        <f t="shared" si="14"/>
        <v>4199.7021276595751</v>
      </c>
      <c r="N113" s="93">
        <f>O113*J113</f>
        <v>1104</v>
      </c>
      <c r="O113" s="94">
        <v>368</v>
      </c>
    </row>
    <row r="114" spans="3:15" ht="16.5" hidden="1">
      <c r="C114" s="40"/>
      <c r="D114" s="41" t="str">
        <f>'GOX_SVX 03_26'!A4</f>
        <v>GOX</v>
      </c>
      <c r="E114" s="41" t="str">
        <f>'GOX_SVX 03_26'!B4</f>
        <v>SVX</v>
      </c>
      <c r="F114" s="489">
        <f>'GOX_SVX 03_26'!C4</f>
        <v>0.84236059806508345</v>
      </c>
      <c r="G114" s="489"/>
      <c r="H114" s="489">
        <f>'GOX_SVX 03_26'!E4</f>
        <v>14.309260583666092</v>
      </c>
      <c r="I114" s="489"/>
      <c r="J114" s="489">
        <f>'GOX_SVX 03_26'!G4</f>
        <v>3</v>
      </c>
      <c r="K114" s="489"/>
      <c r="L114" s="93">
        <f>O114*F114</f>
        <v>315.88522427440631</v>
      </c>
      <c r="M114" s="93">
        <f t="shared" si="14"/>
        <v>4520.0839886722852</v>
      </c>
      <c r="N114" s="93">
        <f>O114*J114</f>
        <v>1125</v>
      </c>
      <c r="O114" s="94">
        <v>375</v>
      </c>
    </row>
    <row r="115" spans="3:15" ht="16.5" hidden="1">
      <c r="C115" s="40"/>
      <c r="D115" s="41" t="str">
        <f>'SUI_SVO 07_26'!A4</f>
        <v>SUI</v>
      </c>
      <c r="E115" s="41" t="str">
        <f>'SUI_SVO 07_26'!B4</f>
        <v>SVO</v>
      </c>
      <c r="F115" s="489">
        <f>'SUI_SVO 07_26'!C4</f>
        <v>0.62943728875062577</v>
      </c>
      <c r="G115" s="489"/>
      <c r="H115" s="489">
        <f>'SUI_SVO 07_26'!E4</f>
        <v>14.253624370050819</v>
      </c>
      <c r="I115" s="489"/>
      <c r="J115" s="489">
        <f>'SUI_SVO 07_26'!G4</f>
        <v>2.3508901398733397</v>
      </c>
      <c r="K115" s="489"/>
      <c r="L115" s="93">
        <f>O115*F115</f>
        <v>313.45976979781165</v>
      </c>
      <c r="M115" s="93">
        <f>L115*H115</f>
        <v>4467.9378138206075</v>
      </c>
      <c r="N115" s="93">
        <f>O115*J115</f>
        <v>1170.7432896569233</v>
      </c>
      <c r="O115" s="94">
        <v>498</v>
      </c>
    </row>
    <row r="116" spans="3:15" ht="16.5" hidden="1">
      <c r="C116" s="40"/>
      <c r="D116" s="41" t="str">
        <f>'KQT_UFA 07_2026'!A4</f>
        <v>KQT</v>
      </c>
      <c r="E116" s="41" t="str">
        <f>'KQT_UFA 07_2026'!B4</f>
        <v>UFA</v>
      </c>
      <c r="F116" s="489">
        <f>'KQT_UFA 07_2026'!C4</f>
        <v>0.85071578752664412</v>
      </c>
      <c r="G116" s="489"/>
      <c r="H116" s="489">
        <f>'KQT_UFA 07_2026'!E4</f>
        <v>12.511069715656047</v>
      </c>
      <c r="I116" s="489"/>
      <c r="J116" s="489">
        <f>'KQT_UFA 07_2026'!G4</f>
        <v>2.5381992430338491</v>
      </c>
      <c r="K116" s="489"/>
      <c r="L116" s="93">
        <f t="shared" ref="L116:L117" si="18">O116*F116</f>
        <v>130.15951549157654</v>
      </c>
      <c r="M116" s="93">
        <f t="shared" si="14"/>
        <v>1628.4347724711274</v>
      </c>
      <c r="N116" s="93">
        <f t="shared" ref="N116:N117" si="19">O116*J116</f>
        <v>388.3444841841789</v>
      </c>
      <c r="O116" s="94">
        <v>153</v>
      </c>
    </row>
    <row r="117" spans="3:15" ht="16.5" hidden="1">
      <c r="C117" s="40"/>
      <c r="D117" s="41" t="str">
        <f>'SUI_UFA 07_26'!A4</f>
        <v>SUI</v>
      </c>
      <c r="E117" s="41" t="str">
        <f>'SUI_UFA 07_26'!B4</f>
        <v>UFA</v>
      </c>
      <c r="F117" s="489">
        <f>'SUI_UFA 07_26'!C4</f>
        <v>0.17391304347826086</v>
      </c>
      <c r="G117" s="489"/>
      <c r="H117" s="489">
        <f>'SUI_UFA 07_26'!E4</f>
        <v>16.5625</v>
      </c>
      <c r="I117" s="489"/>
      <c r="J117" s="489">
        <f>'SUI_UFA 07_26'!G4</f>
        <v>3.1739130434782608</v>
      </c>
      <c r="K117" s="489"/>
      <c r="L117" s="93">
        <f t="shared" si="18"/>
        <v>16</v>
      </c>
      <c r="M117" s="93">
        <f t="shared" si="14"/>
        <v>265</v>
      </c>
      <c r="N117" s="93">
        <f t="shared" si="19"/>
        <v>292</v>
      </c>
      <c r="O117" s="94">
        <v>92</v>
      </c>
    </row>
    <row r="118" spans="3:15" ht="16.5" hidden="1">
      <c r="C118" s="40"/>
      <c r="D118" s="41" t="str">
        <f>'SUI_CEK 07_26'!A4</f>
        <v>SUI</v>
      </c>
      <c r="E118" s="41" t="str">
        <f>'SUI_CEK 07_26'!B4</f>
        <v>CEK</v>
      </c>
      <c r="F118" s="489">
        <f>'SUI_CEK 07_26'!C4</f>
        <v>0.40845070422535212</v>
      </c>
      <c r="G118" s="489"/>
      <c r="H118" s="489">
        <f>'SUI_CEK 07_26'!E4</f>
        <v>14.862068965517242</v>
      </c>
      <c r="I118" s="489"/>
      <c r="J118" s="489">
        <f>'SUI_CEK 07_26'!G4</f>
        <v>3.704225352112676</v>
      </c>
      <c r="K118" s="489"/>
      <c r="L118" s="93">
        <f>O118*F118</f>
        <v>29</v>
      </c>
      <c r="M118" s="93">
        <f>L118*H118</f>
        <v>431</v>
      </c>
      <c r="N118" s="93">
        <f>O118*J118</f>
        <v>263</v>
      </c>
      <c r="O118" s="94">
        <v>71</v>
      </c>
    </row>
    <row r="119" spans="3:15" ht="16.5" hidden="1">
      <c r="C119" s="40"/>
      <c r="D119" s="41" t="str">
        <f>'SUI_LED 07_26'!A4</f>
        <v>SUI</v>
      </c>
      <c r="E119" s="41" t="str">
        <f>'SUI_LED 07_26'!B4</f>
        <v>LED</v>
      </c>
      <c r="F119" s="489">
        <f>'SUI_LED 07_26'!C4</f>
        <v>0.63207547169811318</v>
      </c>
      <c r="G119" s="489"/>
      <c r="H119" s="489">
        <f>'SUI_LED 07_26'!E4</f>
        <v>15.134328358208956</v>
      </c>
      <c r="I119" s="489"/>
      <c r="J119" s="489">
        <f>'SUI_LED 07_26'!G4</f>
        <v>2.7641509433962264</v>
      </c>
      <c r="K119" s="489"/>
      <c r="L119" s="93">
        <f>O119*F119</f>
        <v>67</v>
      </c>
      <c r="M119" s="93">
        <f>L119*H119</f>
        <v>1014</v>
      </c>
      <c r="N119" s="93">
        <f>O119*J119</f>
        <v>293</v>
      </c>
      <c r="O119" s="94">
        <v>106</v>
      </c>
    </row>
    <row r="120" spans="3:15" ht="16.5">
      <c r="C120" s="40"/>
      <c r="D120" s="41"/>
      <c r="E120" s="41"/>
      <c r="F120" s="489"/>
      <c r="G120" s="489"/>
      <c r="H120" s="489"/>
      <c r="I120" s="489"/>
      <c r="J120" s="489"/>
      <c r="K120" s="489"/>
      <c r="L120" s="43"/>
      <c r="M120" s="43"/>
      <c r="N120" s="43"/>
      <c r="O120" s="94"/>
    </row>
    <row r="121" spans="3:15" ht="16.5">
      <c r="C121" s="40"/>
      <c r="D121" s="41"/>
      <c r="E121" s="41"/>
      <c r="F121" s="489"/>
      <c r="G121" s="489"/>
      <c r="H121" s="489"/>
      <c r="I121" s="489"/>
      <c r="J121" s="489"/>
      <c r="K121" s="489"/>
      <c r="L121" s="43"/>
      <c r="M121" s="43"/>
      <c r="N121" s="43"/>
      <c r="O121" s="94"/>
    </row>
    <row r="122" spans="3:15" ht="16.5">
      <c r="C122" s="40"/>
      <c r="D122" s="41"/>
      <c r="E122" s="41"/>
      <c r="F122" s="489"/>
      <c r="G122" s="489"/>
      <c r="H122" s="489"/>
      <c r="I122" s="489"/>
      <c r="J122" s="489"/>
      <c r="K122" s="489"/>
      <c r="L122" s="43"/>
      <c r="M122" s="43"/>
      <c r="N122" s="43"/>
      <c r="O122" s="94"/>
    </row>
    <row r="123" spans="3:15" ht="16.5">
      <c r="C123" s="40"/>
      <c r="D123" s="41"/>
      <c r="E123" s="41"/>
      <c r="F123" s="489"/>
      <c r="G123" s="489"/>
      <c r="H123" s="489"/>
      <c r="I123" s="489"/>
      <c r="J123" s="489"/>
      <c r="K123" s="489"/>
      <c r="L123" s="43"/>
      <c r="M123" s="43"/>
      <c r="N123" s="43"/>
      <c r="O123" s="94"/>
    </row>
    <row r="124" spans="3:15" ht="16.5">
      <c r="C124" s="40"/>
      <c r="D124" s="41"/>
      <c r="E124" s="41"/>
      <c r="F124" s="489"/>
      <c r="G124" s="489"/>
      <c r="H124" s="489"/>
      <c r="I124" s="489"/>
      <c r="J124" s="489"/>
      <c r="K124" s="489"/>
      <c r="L124" s="43"/>
      <c r="M124" s="43"/>
      <c r="N124" s="43"/>
      <c r="O124" s="94"/>
    </row>
    <row r="125" spans="3:15" ht="16.5">
      <c r="C125" s="40"/>
      <c r="D125" s="41"/>
      <c r="E125" s="41"/>
      <c r="F125" s="489"/>
      <c r="G125" s="489"/>
      <c r="H125" s="489"/>
      <c r="I125" s="489"/>
      <c r="J125" s="489"/>
      <c r="K125" s="489"/>
      <c r="L125" s="43"/>
      <c r="M125" s="43"/>
      <c r="N125" s="43"/>
      <c r="O125" s="94"/>
    </row>
    <row r="126" spans="3:15" ht="16.5">
      <c r="C126" s="40"/>
      <c r="D126" s="41"/>
      <c r="E126" s="41"/>
      <c r="F126" s="489"/>
      <c r="G126" s="489"/>
      <c r="H126" s="489"/>
      <c r="I126" s="489"/>
      <c r="J126" s="489"/>
      <c r="K126" s="489"/>
      <c r="L126" s="43"/>
      <c r="M126" s="43"/>
      <c r="N126" s="43"/>
      <c r="O126" s="94"/>
    </row>
    <row r="127" spans="3:15" ht="16.5">
      <c r="C127" s="40"/>
      <c r="D127" s="41"/>
      <c r="E127" s="41"/>
      <c r="F127" s="489"/>
      <c r="G127" s="489"/>
      <c r="H127" s="489"/>
      <c r="I127" s="489"/>
      <c r="J127" s="489"/>
      <c r="K127" s="489"/>
      <c r="L127" s="43"/>
      <c r="M127" s="43"/>
      <c r="N127" s="43"/>
      <c r="O127" s="94"/>
    </row>
    <row r="128" spans="3:15" ht="16.5">
      <c r="C128" s="40"/>
      <c r="D128" s="41"/>
      <c r="E128" s="41"/>
      <c r="F128" s="489"/>
      <c r="G128" s="489"/>
      <c r="H128" s="489"/>
      <c r="I128" s="489"/>
      <c r="J128" s="489"/>
      <c r="K128" s="489"/>
      <c r="L128" s="43"/>
      <c r="M128" s="43"/>
      <c r="N128" s="43"/>
      <c r="O128" s="94"/>
    </row>
    <row r="129" spans="3:15" ht="16.5">
      <c r="C129" s="40"/>
      <c r="D129" s="41"/>
      <c r="E129" s="41"/>
      <c r="F129" s="489"/>
      <c r="G129" s="489"/>
      <c r="H129" s="489"/>
      <c r="I129" s="489"/>
      <c r="J129" s="489"/>
      <c r="K129" s="489"/>
      <c r="L129" s="43"/>
      <c r="M129" s="43"/>
      <c r="N129" s="43"/>
      <c r="O129" s="94"/>
    </row>
    <row r="130" spans="3:15" ht="16.5">
      <c r="C130" s="40"/>
      <c r="D130" s="41"/>
      <c r="E130" s="41"/>
      <c r="F130" s="489"/>
      <c r="G130" s="489"/>
      <c r="H130" s="489"/>
      <c r="I130" s="489"/>
      <c r="J130" s="489"/>
      <c r="K130" s="489"/>
      <c r="L130" s="43"/>
      <c r="M130" s="43"/>
      <c r="N130" s="43"/>
      <c r="O130" s="94"/>
    </row>
    <row r="131" spans="3:15" ht="16.5">
      <c r="C131" s="40"/>
      <c r="D131" s="41"/>
      <c r="E131" s="41"/>
      <c r="F131" s="489"/>
      <c r="G131" s="489"/>
      <c r="H131" s="489"/>
      <c r="I131" s="489"/>
      <c r="J131" s="489"/>
      <c r="K131" s="489"/>
      <c r="L131" s="43"/>
      <c r="M131" s="43"/>
      <c r="N131" s="43"/>
      <c r="O131" s="94"/>
    </row>
    <row r="132" spans="3:15" ht="16.5">
      <c r="C132" s="40"/>
      <c r="D132" s="41"/>
      <c r="E132" s="41"/>
      <c r="F132" s="489"/>
      <c r="G132" s="489"/>
      <c r="H132" s="489"/>
      <c r="I132" s="489"/>
      <c r="J132" s="489"/>
      <c r="K132" s="489"/>
      <c r="L132" s="43"/>
      <c r="M132" s="43"/>
      <c r="N132" s="43"/>
      <c r="O132" s="94"/>
    </row>
    <row r="133" spans="3:15" ht="16.5">
      <c r="C133" s="40"/>
      <c r="D133" s="41"/>
      <c r="E133" s="41"/>
      <c r="F133" s="489"/>
      <c r="G133" s="489"/>
      <c r="H133" s="489"/>
      <c r="I133" s="489"/>
      <c r="J133" s="489"/>
      <c r="K133" s="489"/>
      <c r="L133" s="43"/>
      <c r="M133" s="43"/>
      <c r="N133" s="43"/>
      <c r="O133" s="94"/>
    </row>
    <row r="134" spans="3:15" ht="16.5">
      <c r="C134" s="40"/>
      <c r="D134" s="41"/>
      <c r="E134" s="41"/>
      <c r="F134" s="489"/>
      <c r="G134" s="489"/>
      <c r="H134" s="489"/>
      <c r="I134" s="489"/>
      <c r="J134" s="489"/>
      <c r="K134" s="489"/>
      <c r="L134" s="43"/>
      <c r="M134" s="43"/>
      <c r="N134" s="43"/>
      <c r="O134" s="94"/>
    </row>
    <row r="135" spans="3:15" ht="16.5">
      <c r="C135" s="40"/>
      <c r="D135" s="41"/>
      <c r="E135" s="41"/>
      <c r="F135" s="489"/>
      <c r="G135" s="489"/>
      <c r="H135" s="489"/>
      <c r="I135" s="489"/>
      <c r="J135" s="489"/>
      <c r="K135" s="489"/>
      <c r="L135" s="43"/>
      <c r="M135" s="43"/>
      <c r="N135" s="43"/>
      <c r="O135" s="94"/>
    </row>
    <row r="136" spans="3:15" ht="16.5">
      <c r="C136" s="40"/>
      <c r="D136" s="41"/>
      <c r="E136" s="41"/>
      <c r="F136" s="489"/>
      <c r="G136" s="489"/>
      <c r="H136" s="489"/>
      <c r="I136" s="489"/>
      <c r="J136" s="489"/>
      <c r="K136" s="489"/>
      <c r="L136" s="43"/>
      <c r="M136" s="43"/>
      <c r="N136" s="43"/>
      <c r="O136" s="94"/>
    </row>
    <row r="137" spans="3:15" ht="16.5">
      <c r="C137" s="40"/>
      <c r="D137" s="41"/>
      <c r="E137" s="41"/>
      <c r="F137" s="489"/>
      <c r="G137" s="489"/>
      <c r="H137" s="489"/>
      <c r="I137" s="489"/>
      <c r="J137" s="489"/>
      <c r="K137" s="489"/>
      <c r="L137" s="43"/>
      <c r="M137" s="43"/>
      <c r="N137" s="43"/>
      <c r="O137" s="94"/>
    </row>
    <row r="138" spans="3:15" ht="16.5">
      <c r="C138" s="40"/>
      <c r="D138" s="41"/>
      <c r="E138" s="41"/>
      <c r="F138" s="489"/>
      <c r="G138" s="489"/>
      <c r="H138" s="489"/>
      <c r="I138" s="489"/>
      <c r="J138" s="489"/>
      <c r="K138" s="489"/>
      <c r="L138" s="43"/>
      <c r="M138" s="43"/>
      <c r="N138" s="43"/>
      <c r="O138" s="94"/>
    </row>
    <row r="139" spans="3:15" ht="16.5">
      <c r="C139" s="40"/>
      <c r="D139" s="41"/>
      <c r="E139" s="41"/>
      <c r="F139" s="489"/>
      <c r="G139" s="489"/>
      <c r="H139" s="489"/>
      <c r="I139" s="489"/>
      <c r="J139" s="489"/>
      <c r="K139" s="489"/>
      <c r="L139" s="43"/>
      <c r="M139" s="43"/>
      <c r="N139" s="43"/>
      <c r="O139" s="94"/>
    </row>
    <row r="140" spans="3:15" ht="16.5">
      <c r="C140" s="40"/>
      <c r="D140" s="41"/>
      <c r="E140" s="41"/>
      <c r="F140" s="489"/>
      <c r="G140" s="489"/>
      <c r="H140" s="489"/>
      <c r="I140" s="489"/>
      <c r="J140" s="489"/>
      <c r="K140" s="489"/>
      <c r="L140" s="43"/>
      <c r="M140" s="43"/>
      <c r="N140" s="43"/>
      <c r="O140" s="94"/>
    </row>
    <row r="141" spans="3:15" ht="16.5">
      <c r="C141" s="40"/>
      <c r="D141" s="41"/>
      <c r="E141" s="41"/>
      <c r="F141" s="489"/>
      <c r="G141" s="489"/>
      <c r="H141" s="489"/>
      <c r="I141" s="489"/>
      <c r="J141" s="489"/>
      <c r="K141" s="489"/>
      <c r="L141" s="43"/>
      <c r="M141" s="43"/>
      <c r="N141" s="43"/>
      <c r="O141" s="94"/>
    </row>
    <row r="142" spans="3:15" ht="16.5">
      <c r="C142" s="40"/>
      <c r="D142" s="41"/>
      <c r="E142" s="41"/>
      <c r="F142" s="489"/>
      <c r="G142" s="489"/>
      <c r="H142" s="489"/>
      <c r="I142" s="489"/>
      <c r="J142" s="489"/>
      <c r="K142" s="489"/>
      <c r="L142" s="43"/>
      <c r="M142" s="43"/>
      <c r="N142" s="43"/>
      <c r="O142" s="94"/>
    </row>
    <row r="143" spans="3:15" ht="16.5">
      <c r="C143" s="40"/>
      <c r="D143" s="41"/>
      <c r="E143" s="41"/>
      <c r="F143" s="489"/>
      <c r="G143" s="489"/>
      <c r="H143" s="489"/>
      <c r="I143" s="489"/>
      <c r="J143" s="489"/>
      <c r="K143" s="489"/>
      <c r="L143" s="43"/>
      <c r="M143" s="43"/>
      <c r="N143" s="43"/>
      <c r="O143" s="94"/>
    </row>
    <row r="144" spans="3:15" ht="16.5">
      <c r="C144" s="40"/>
      <c r="D144" s="41"/>
      <c r="E144" s="41"/>
      <c r="F144" s="489"/>
      <c r="G144" s="489"/>
      <c r="H144" s="489"/>
      <c r="I144" s="489"/>
      <c r="J144" s="489"/>
      <c r="K144" s="489"/>
      <c r="L144" s="43"/>
      <c r="M144" s="43"/>
      <c r="N144" s="43"/>
      <c r="O144" s="94"/>
    </row>
    <row r="145" spans="3:15" ht="16.5">
      <c r="C145" s="40"/>
      <c r="D145" s="41"/>
      <c r="E145" s="41"/>
      <c r="F145" s="489"/>
      <c r="G145" s="489"/>
      <c r="H145" s="489"/>
      <c r="I145" s="489"/>
      <c r="J145" s="489"/>
      <c r="K145" s="489"/>
      <c r="L145" s="43"/>
      <c r="M145" s="43"/>
      <c r="N145" s="43"/>
      <c r="O145" s="94"/>
    </row>
    <row r="146" spans="3:15" ht="16.5">
      <c r="C146" s="40"/>
      <c r="D146" s="41"/>
      <c r="E146" s="41"/>
      <c r="F146" s="489"/>
      <c r="G146" s="489"/>
      <c r="H146" s="489"/>
      <c r="I146" s="489"/>
      <c r="J146" s="489"/>
      <c r="K146" s="489"/>
      <c r="L146" s="43"/>
      <c r="M146" s="43"/>
      <c r="N146" s="43"/>
      <c r="O146" s="94"/>
    </row>
    <row r="147" spans="3:15" ht="16.5">
      <c r="C147" s="40"/>
      <c r="D147" s="41"/>
      <c r="E147" s="41"/>
      <c r="F147" s="489"/>
      <c r="G147" s="489"/>
      <c r="H147" s="489"/>
      <c r="I147" s="489"/>
      <c r="J147" s="489"/>
      <c r="K147" s="489"/>
      <c r="L147" s="43"/>
      <c r="M147" s="43"/>
      <c r="N147" s="43"/>
      <c r="O147" s="94"/>
    </row>
    <row r="148" spans="3:15" ht="16.5">
      <c r="C148" s="40"/>
      <c r="D148" s="41"/>
      <c r="E148" s="41"/>
      <c r="F148" s="489"/>
      <c r="G148" s="489"/>
      <c r="H148" s="489"/>
      <c r="I148" s="489"/>
      <c r="J148" s="489"/>
      <c r="K148" s="489"/>
      <c r="L148" s="43"/>
      <c r="M148" s="43"/>
      <c r="N148" s="43"/>
      <c r="O148" s="94"/>
    </row>
    <row r="149" spans="3:15" ht="16.5">
      <c r="C149" s="40"/>
      <c r="D149" s="41"/>
      <c r="E149" s="41"/>
      <c r="F149" s="489"/>
      <c r="G149" s="489"/>
      <c r="H149" s="489"/>
      <c r="I149" s="489"/>
      <c r="J149" s="489"/>
      <c r="K149" s="489"/>
      <c r="L149" s="43"/>
      <c r="M149" s="43"/>
      <c r="N149" s="43"/>
      <c r="O149" s="94"/>
    </row>
    <row r="150" spans="3:15" ht="16.5">
      <c r="C150" s="40"/>
      <c r="D150" s="41"/>
      <c r="E150" s="41"/>
      <c r="F150" s="489"/>
      <c r="G150" s="489"/>
      <c r="H150" s="489"/>
      <c r="I150" s="489"/>
      <c r="J150" s="489"/>
      <c r="K150" s="489"/>
      <c r="L150" s="43"/>
      <c r="M150" s="43"/>
      <c r="N150" s="43"/>
      <c r="O150" s="94"/>
    </row>
    <row r="151" spans="3:15" ht="16.5">
      <c r="C151" s="40"/>
      <c r="D151" s="41"/>
      <c r="E151" s="41"/>
      <c r="F151" s="489"/>
      <c r="G151" s="489"/>
      <c r="H151" s="489"/>
      <c r="I151" s="489"/>
      <c r="J151" s="489"/>
      <c r="K151" s="489"/>
      <c r="L151" s="43"/>
      <c r="M151" s="43"/>
      <c r="N151" s="43"/>
      <c r="O151" s="94"/>
    </row>
    <row r="152" spans="3:15" ht="16.5">
      <c r="C152" s="40"/>
      <c r="D152" s="41"/>
      <c r="E152" s="41"/>
      <c r="F152" s="489"/>
      <c r="G152" s="489"/>
      <c r="H152" s="489"/>
      <c r="I152" s="489"/>
      <c r="J152" s="489"/>
      <c r="K152" s="489"/>
      <c r="L152" s="43"/>
      <c r="M152" s="43"/>
      <c r="N152" s="43"/>
      <c r="O152" s="94"/>
    </row>
    <row r="153" spans="3:15" ht="16.5">
      <c r="C153" s="40"/>
      <c r="D153" s="41"/>
      <c r="E153" s="41"/>
      <c r="F153" s="489"/>
      <c r="G153" s="489"/>
      <c r="H153" s="489"/>
      <c r="I153" s="489"/>
      <c r="J153" s="489"/>
      <c r="K153" s="489"/>
      <c r="L153" s="43"/>
      <c r="M153" s="43"/>
      <c r="N153" s="43"/>
      <c r="O153" s="94"/>
    </row>
    <row r="154" spans="3:15" ht="16.5">
      <c r="C154" s="40"/>
      <c r="D154" s="41"/>
      <c r="E154" s="41"/>
      <c r="F154" s="489"/>
      <c r="G154" s="489"/>
      <c r="H154" s="489"/>
      <c r="I154" s="489"/>
      <c r="J154" s="489"/>
      <c r="K154" s="489"/>
      <c r="L154" s="43"/>
      <c r="M154" s="43"/>
      <c r="N154" s="43"/>
      <c r="O154" s="94"/>
    </row>
    <row r="155" spans="3:15" ht="16.5">
      <c r="C155" s="40"/>
      <c r="D155" s="41"/>
      <c r="E155" s="41"/>
      <c r="F155" s="489"/>
      <c r="G155" s="489"/>
      <c r="H155" s="489"/>
      <c r="I155" s="489"/>
      <c r="J155" s="489"/>
      <c r="K155" s="489"/>
      <c r="L155" s="43"/>
      <c r="M155" s="43"/>
      <c r="N155" s="43"/>
      <c r="O155" s="94"/>
    </row>
    <row r="156" spans="3:15" ht="16.5">
      <c r="C156" s="40"/>
      <c r="D156" s="41"/>
      <c r="E156" s="41"/>
      <c r="F156" s="489"/>
      <c r="G156" s="489"/>
      <c r="H156" s="489"/>
      <c r="I156" s="489"/>
      <c r="J156" s="489"/>
      <c r="K156" s="489"/>
      <c r="L156" s="43"/>
      <c r="M156" s="43"/>
      <c r="N156" s="43"/>
      <c r="O156" s="94"/>
    </row>
    <row r="157" spans="3:15" ht="16.5">
      <c r="C157" s="40"/>
      <c r="D157" s="41"/>
      <c r="E157" s="41"/>
      <c r="F157" s="489"/>
      <c r="G157" s="489"/>
      <c r="H157" s="489"/>
      <c r="I157" s="489"/>
      <c r="J157" s="489"/>
      <c r="K157" s="489"/>
      <c r="L157" s="43"/>
      <c r="M157" s="43"/>
      <c r="N157" s="43"/>
      <c r="O157" s="94"/>
    </row>
    <row r="158" spans="3:15" ht="16.5">
      <c r="C158" s="40"/>
      <c r="D158" s="41"/>
      <c r="E158" s="41"/>
      <c r="F158" s="489"/>
      <c r="G158" s="489"/>
      <c r="H158" s="489"/>
      <c r="I158" s="489"/>
      <c r="J158" s="489"/>
      <c r="K158" s="489"/>
      <c r="L158" s="43"/>
      <c r="M158" s="43"/>
      <c r="N158" s="43"/>
      <c r="O158" s="94"/>
    </row>
    <row r="159" spans="3:15" ht="16.5">
      <c r="C159" s="40"/>
      <c r="D159" s="41"/>
      <c r="E159" s="41"/>
      <c r="F159" s="489"/>
      <c r="G159" s="489"/>
      <c r="H159" s="489"/>
      <c r="I159" s="489"/>
      <c r="J159" s="489"/>
      <c r="K159" s="489"/>
      <c r="L159" s="43"/>
      <c r="M159" s="43"/>
      <c r="N159" s="43"/>
      <c r="O159" s="94"/>
    </row>
    <row r="160" spans="3:15" ht="16.5">
      <c r="C160" s="40"/>
      <c r="D160" s="41"/>
      <c r="E160" s="41"/>
      <c r="F160" s="489"/>
      <c r="G160" s="489"/>
      <c r="H160" s="489"/>
      <c r="I160" s="489"/>
      <c r="J160" s="489"/>
      <c r="K160" s="489"/>
      <c r="L160" s="43"/>
      <c r="M160" s="43"/>
      <c r="N160" s="43"/>
      <c r="O160" s="94"/>
    </row>
    <row r="161" spans="3:15" ht="16.5">
      <c r="C161" s="40"/>
      <c r="D161" s="41"/>
      <c r="E161" s="41"/>
      <c r="F161" s="489"/>
      <c r="G161" s="489"/>
      <c r="H161" s="489"/>
      <c r="I161" s="489"/>
      <c r="J161" s="489"/>
      <c r="K161" s="489"/>
      <c r="L161" s="43"/>
      <c r="M161" s="43"/>
      <c r="N161" s="43"/>
      <c r="O161" s="94"/>
    </row>
    <row r="162" spans="3:15" ht="16.5">
      <c r="C162" s="40"/>
      <c r="D162" s="41"/>
      <c r="E162" s="41"/>
      <c r="F162" s="489"/>
      <c r="G162" s="489"/>
      <c r="H162" s="489"/>
      <c r="I162" s="489"/>
      <c r="J162" s="489"/>
      <c r="K162" s="489"/>
      <c r="L162" s="43"/>
      <c r="M162" s="43"/>
      <c r="N162" s="43"/>
      <c r="O162" s="94"/>
    </row>
    <row r="163" spans="3:15" ht="16.5">
      <c r="C163" s="40"/>
      <c r="D163" s="41"/>
      <c r="E163" s="41"/>
      <c r="F163" s="489"/>
      <c r="G163" s="489"/>
      <c r="H163" s="489"/>
      <c r="I163" s="489"/>
      <c r="J163" s="489"/>
      <c r="K163" s="489"/>
      <c r="L163" s="43"/>
      <c r="M163" s="43"/>
      <c r="N163" s="43"/>
      <c r="O163" s="94"/>
    </row>
    <row r="164" spans="3:15" ht="16.5">
      <c r="C164" s="40"/>
      <c r="D164" s="41"/>
      <c r="E164" s="41"/>
      <c r="F164" s="489"/>
      <c r="G164" s="489"/>
      <c r="H164" s="489"/>
      <c r="I164" s="489"/>
      <c r="J164" s="489"/>
      <c r="K164" s="489"/>
      <c r="L164" s="43"/>
      <c r="M164" s="43"/>
      <c r="N164" s="43"/>
      <c r="O164" s="94"/>
    </row>
    <row r="165" spans="3:15" ht="16.5">
      <c r="C165" s="40"/>
      <c r="D165" s="41"/>
      <c r="E165" s="41"/>
      <c r="F165" s="489"/>
      <c r="G165" s="489"/>
      <c r="H165" s="489"/>
      <c r="I165" s="489"/>
      <c r="J165" s="489"/>
      <c r="K165" s="489"/>
      <c r="L165" s="43"/>
      <c r="M165" s="43"/>
      <c r="N165" s="43"/>
      <c r="O165" s="94"/>
    </row>
    <row r="166" spans="3:15" ht="16.5">
      <c r="C166" s="40"/>
      <c r="D166" s="41"/>
      <c r="E166" s="41"/>
      <c r="F166" s="489"/>
      <c r="G166" s="489"/>
      <c r="H166" s="489"/>
      <c r="I166" s="489"/>
      <c r="J166" s="489"/>
      <c r="K166" s="489"/>
      <c r="L166" s="43"/>
      <c r="M166" s="43"/>
      <c r="N166" s="43"/>
      <c r="O166" s="94"/>
    </row>
    <row r="167" spans="3:15" ht="16.5">
      <c r="C167" s="40"/>
      <c r="D167" s="41"/>
      <c r="E167" s="41"/>
      <c r="F167" s="489"/>
      <c r="G167" s="489"/>
      <c r="H167" s="489"/>
      <c r="I167" s="489"/>
      <c r="J167" s="489"/>
      <c r="K167" s="489"/>
      <c r="L167" s="43"/>
      <c r="M167" s="43"/>
      <c r="N167" s="43"/>
      <c r="O167" s="94"/>
    </row>
    <row r="168" spans="3:15" ht="16.5">
      <c r="C168" s="40"/>
      <c r="D168" s="41"/>
      <c r="E168" s="41"/>
      <c r="F168" s="489"/>
      <c r="G168" s="489"/>
      <c r="H168" s="489"/>
      <c r="I168" s="489"/>
      <c r="J168" s="489"/>
      <c r="K168" s="489"/>
      <c r="L168" s="43"/>
      <c r="M168" s="43"/>
      <c r="N168" s="43"/>
      <c r="O168" s="94"/>
    </row>
    <row r="169" spans="3:15" ht="16.5">
      <c r="C169" s="40"/>
      <c r="D169" s="43"/>
      <c r="E169" s="43"/>
      <c r="F169" s="489"/>
      <c r="G169" s="489"/>
      <c r="H169" s="489"/>
      <c r="I169" s="489"/>
      <c r="J169" s="489"/>
      <c r="K169" s="489"/>
      <c r="L169" s="43"/>
      <c r="M169" s="43"/>
      <c r="N169" s="43"/>
      <c r="O169" s="94"/>
    </row>
    <row r="170" spans="3:15" ht="16.5">
      <c r="C170" s="40"/>
      <c r="D170" s="43"/>
      <c r="E170" s="43"/>
      <c r="F170" s="489"/>
      <c r="G170" s="489"/>
      <c r="H170" s="489"/>
      <c r="I170" s="489"/>
      <c r="J170" s="489"/>
      <c r="K170" s="489"/>
      <c r="L170" s="43"/>
      <c r="M170" s="43"/>
      <c r="N170" s="43"/>
      <c r="O170" s="94"/>
    </row>
    <row r="171" spans="3:15" ht="16.5">
      <c r="C171" s="40"/>
      <c r="D171" s="43"/>
      <c r="E171" s="43"/>
      <c r="F171" s="489"/>
      <c r="G171" s="489"/>
      <c r="H171" s="489"/>
      <c r="I171" s="489"/>
      <c r="J171" s="489"/>
      <c r="K171" s="489"/>
      <c r="L171" s="43"/>
      <c r="M171" s="43"/>
      <c r="N171" s="43"/>
      <c r="O171" s="94"/>
    </row>
    <row r="172" spans="3:15" ht="16.5">
      <c r="C172" s="40"/>
      <c r="D172" s="43"/>
      <c r="E172" s="43"/>
      <c r="F172" s="489"/>
      <c r="G172" s="489"/>
      <c r="H172" s="489"/>
      <c r="I172" s="489"/>
      <c r="J172" s="489"/>
      <c r="K172" s="489"/>
      <c r="L172" s="43"/>
      <c r="M172" s="43"/>
      <c r="N172" s="43"/>
      <c r="O172" s="94"/>
    </row>
    <row r="173" spans="3:15" ht="16.5">
      <c r="C173" s="40"/>
      <c r="D173" s="43"/>
      <c r="E173" s="43"/>
      <c r="F173" s="489"/>
      <c r="G173" s="489"/>
      <c r="H173" s="489"/>
      <c r="I173" s="489"/>
      <c r="J173" s="489"/>
      <c r="K173" s="489"/>
      <c r="L173" s="43"/>
      <c r="M173" s="43"/>
      <c r="N173" s="43"/>
      <c r="O173" s="94"/>
    </row>
    <row r="174" spans="3:15" ht="16.5">
      <c r="C174" s="40"/>
      <c r="D174" s="43"/>
      <c r="E174" s="43"/>
      <c r="F174" s="489"/>
      <c r="G174" s="489"/>
      <c r="H174" s="489"/>
      <c r="I174" s="489"/>
      <c r="J174" s="489"/>
      <c r="K174" s="489"/>
      <c r="L174" s="43"/>
      <c r="M174" s="43"/>
      <c r="N174" s="43"/>
      <c r="O174" s="94"/>
    </row>
    <row r="175" spans="3:15" ht="16.5">
      <c r="C175" s="40"/>
      <c r="D175" s="43"/>
      <c r="E175" s="43"/>
      <c r="F175" s="489"/>
      <c r="G175" s="489"/>
      <c r="H175" s="489"/>
      <c r="I175" s="489"/>
      <c r="J175" s="489"/>
      <c r="K175" s="489"/>
      <c r="L175" s="43"/>
      <c r="M175" s="43"/>
      <c r="N175" s="43"/>
      <c r="O175" s="94"/>
    </row>
    <row r="176" spans="3:15" ht="16.5">
      <c r="C176" s="40"/>
      <c r="D176" s="43"/>
      <c r="E176" s="43"/>
      <c r="F176" s="489"/>
      <c r="G176" s="489"/>
      <c r="H176" s="489"/>
      <c r="I176" s="489"/>
      <c r="J176" s="489"/>
      <c r="K176" s="489"/>
      <c r="L176" s="43"/>
      <c r="M176" s="43"/>
      <c r="N176" s="43"/>
      <c r="O176" s="94"/>
    </row>
    <row r="177" spans="3:15" ht="16.5">
      <c r="C177" s="40"/>
      <c r="D177" s="43"/>
      <c r="E177" s="43"/>
      <c r="F177" s="489"/>
      <c r="G177" s="489"/>
      <c r="H177" s="489"/>
      <c r="I177" s="489"/>
      <c r="J177" s="489"/>
      <c r="K177" s="489"/>
      <c r="L177" s="43"/>
      <c r="M177" s="43"/>
      <c r="N177" s="43"/>
      <c r="O177" s="94"/>
    </row>
    <row r="178" spans="3:15" ht="16.5">
      <c r="C178" s="40"/>
      <c r="D178" s="43"/>
      <c r="E178" s="43"/>
      <c r="F178" s="489"/>
      <c r="G178" s="489"/>
      <c r="H178" s="489"/>
      <c r="I178" s="489"/>
      <c r="J178" s="489"/>
      <c r="K178" s="489"/>
      <c r="L178" s="43"/>
      <c r="M178" s="43"/>
      <c r="N178" s="43"/>
      <c r="O178" s="94"/>
    </row>
    <row r="179" spans="3:15" ht="16.5">
      <c r="C179" s="40"/>
      <c r="D179" s="43"/>
      <c r="E179" s="43"/>
      <c r="F179" s="489"/>
      <c r="G179" s="489"/>
      <c r="H179" s="489"/>
      <c r="I179" s="489"/>
      <c r="J179" s="489"/>
      <c r="K179" s="489"/>
      <c r="L179" s="43"/>
      <c r="M179" s="43"/>
      <c r="N179" s="43"/>
      <c r="O179" s="94"/>
    </row>
    <row r="180" spans="3:15" ht="16.5">
      <c r="C180" s="40"/>
      <c r="D180" s="43"/>
      <c r="E180" s="43"/>
      <c r="F180" s="489"/>
      <c r="G180" s="489"/>
      <c r="H180" s="489"/>
      <c r="I180" s="489"/>
      <c r="J180" s="489"/>
      <c r="K180" s="489"/>
      <c r="L180" s="43"/>
      <c r="M180" s="43"/>
      <c r="N180" s="43"/>
      <c r="O180" s="94"/>
    </row>
    <row r="181" spans="3:15" ht="16.5">
      <c r="C181" s="40"/>
      <c r="D181" s="43"/>
      <c r="E181" s="43"/>
      <c r="F181" s="489"/>
      <c r="G181" s="489"/>
      <c r="H181" s="489"/>
      <c r="I181" s="489"/>
      <c r="J181" s="489"/>
      <c r="K181" s="489"/>
      <c r="L181" s="43"/>
      <c r="M181" s="43"/>
      <c r="N181" s="43"/>
      <c r="O181" s="94"/>
    </row>
    <row r="182" spans="3:15" ht="16.5">
      <c r="C182" s="40"/>
      <c r="D182" s="43"/>
      <c r="E182" s="43"/>
      <c r="F182" s="489"/>
      <c r="G182" s="489"/>
      <c r="H182" s="489"/>
      <c r="I182" s="489"/>
      <c r="J182" s="489"/>
      <c r="K182" s="489"/>
      <c r="L182" s="43"/>
      <c r="M182" s="43"/>
      <c r="N182" s="43"/>
      <c r="O182" s="94"/>
    </row>
    <row r="183" spans="3:15" ht="16.5">
      <c r="C183" s="40"/>
      <c r="D183" s="43"/>
      <c r="E183" s="43"/>
      <c r="F183" s="489"/>
      <c r="G183" s="489"/>
      <c r="H183" s="489"/>
      <c r="I183" s="489"/>
      <c r="J183" s="489"/>
      <c r="K183" s="489"/>
      <c r="L183" s="43"/>
      <c r="M183" s="43"/>
      <c r="N183" s="43"/>
      <c r="O183" s="94"/>
    </row>
    <row r="184" spans="3:15" ht="16.5">
      <c r="C184" s="40"/>
      <c r="D184" s="43"/>
      <c r="E184" s="43"/>
      <c r="F184" s="489"/>
      <c r="G184" s="489"/>
      <c r="H184" s="489"/>
      <c r="I184" s="489"/>
      <c r="J184" s="489"/>
      <c r="K184" s="489"/>
      <c r="L184" s="43"/>
      <c r="M184" s="43"/>
      <c r="N184" s="43"/>
      <c r="O184" s="94"/>
    </row>
    <row r="185" spans="3:15" ht="16.5">
      <c r="C185" s="40"/>
      <c r="D185" s="43"/>
      <c r="E185" s="43"/>
      <c r="F185" s="489"/>
      <c r="G185" s="489"/>
      <c r="H185" s="489"/>
      <c r="I185" s="489"/>
      <c r="J185" s="489"/>
      <c r="K185" s="489"/>
      <c r="L185" s="43"/>
      <c r="M185" s="43"/>
      <c r="N185" s="43"/>
      <c r="O185" s="94"/>
    </row>
    <row r="186" spans="3:15" ht="16.5">
      <c r="C186" s="40"/>
      <c r="D186" s="43"/>
      <c r="E186" s="43"/>
      <c r="F186" s="489"/>
      <c r="G186" s="489"/>
      <c r="H186" s="489"/>
      <c r="I186" s="489"/>
      <c r="J186" s="489"/>
      <c r="K186" s="489"/>
      <c r="L186" s="43"/>
      <c r="M186" s="43"/>
      <c r="N186" s="43"/>
      <c r="O186" s="94"/>
    </row>
    <row r="187" spans="3:15" ht="16.5">
      <c r="C187" s="40"/>
      <c r="D187" s="43"/>
      <c r="E187" s="43"/>
      <c r="F187" s="489"/>
      <c r="G187" s="489"/>
      <c r="H187" s="489"/>
      <c r="I187" s="489"/>
      <c r="J187" s="489"/>
      <c r="K187" s="489"/>
      <c r="L187" s="43"/>
      <c r="M187" s="43"/>
      <c r="N187" s="43"/>
      <c r="O187" s="94"/>
    </row>
    <row r="188" spans="3:15" ht="16.5">
      <c r="C188" s="40"/>
      <c r="D188" s="43"/>
      <c r="E188" s="43"/>
      <c r="F188" s="489"/>
      <c r="G188" s="489"/>
      <c r="H188" s="489"/>
      <c r="I188" s="489"/>
      <c r="J188" s="489"/>
      <c r="K188" s="489"/>
      <c r="L188" s="43"/>
      <c r="M188" s="43"/>
      <c r="N188" s="43"/>
      <c r="O188" s="94"/>
    </row>
    <row r="189" spans="3:15" ht="16.5">
      <c r="C189" s="40"/>
      <c r="D189" s="43"/>
      <c r="E189" s="43"/>
      <c r="F189" s="489"/>
      <c r="G189" s="489"/>
      <c r="H189" s="489"/>
      <c r="I189" s="489"/>
      <c r="J189" s="489"/>
      <c r="K189" s="489"/>
      <c r="L189" s="43"/>
      <c r="M189" s="43"/>
      <c r="N189" s="43"/>
      <c r="O189" s="94"/>
    </row>
    <row r="190" spans="3:15" ht="16.5">
      <c r="C190" s="40"/>
      <c r="D190" s="43"/>
      <c r="E190" s="43"/>
      <c r="F190" s="489"/>
      <c r="G190" s="489"/>
      <c r="H190" s="489"/>
      <c r="I190" s="489"/>
      <c r="J190" s="489"/>
      <c r="K190" s="489"/>
      <c r="L190" s="43"/>
      <c r="M190" s="43"/>
      <c r="N190" s="43"/>
      <c r="O190" s="94"/>
    </row>
    <row r="191" spans="3:15" ht="16.5">
      <c r="C191" s="40"/>
      <c r="D191" s="43"/>
      <c r="E191" s="43"/>
      <c r="F191" s="489"/>
      <c r="G191" s="489"/>
      <c r="H191" s="489"/>
      <c r="I191" s="489"/>
      <c r="J191" s="489"/>
      <c r="K191" s="489"/>
      <c r="L191" s="43"/>
      <c r="M191" s="43"/>
      <c r="N191" s="43"/>
      <c r="O191" s="94"/>
    </row>
    <row r="192" spans="3:15" ht="16.5">
      <c r="C192" s="40"/>
      <c r="D192" s="43"/>
      <c r="E192" s="43"/>
      <c r="F192" s="489"/>
      <c r="G192" s="489"/>
      <c r="H192" s="489"/>
      <c r="I192" s="489"/>
      <c r="J192" s="489"/>
      <c r="K192" s="489"/>
      <c r="L192" s="43"/>
      <c r="M192" s="43"/>
      <c r="N192" s="43"/>
      <c r="O192" s="94"/>
    </row>
    <row r="193" spans="3:15" ht="16.5">
      <c r="C193" s="40"/>
      <c r="D193" s="43"/>
      <c r="E193" s="43"/>
      <c r="F193" s="489"/>
      <c r="G193" s="489"/>
      <c r="H193" s="489"/>
      <c r="I193" s="489"/>
      <c r="J193" s="489"/>
      <c r="K193" s="489"/>
      <c r="L193" s="43"/>
      <c r="M193" s="43"/>
      <c r="N193" s="43"/>
      <c r="O193" s="94"/>
    </row>
    <row r="194" spans="3:15" ht="16.5">
      <c r="C194" s="40"/>
      <c r="D194" s="43"/>
      <c r="E194" s="43"/>
      <c r="F194" s="489"/>
      <c r="G194" s="489"/>
      <c r="H194" s="489"/>
      <c r="I194" s="489"/>
      <c r="J194" s="489"/>
      <c r="K194" s="489"/>
      <c r="L194" s="43"/>
      <c r="M194" s="43"/>
      <c r="N194" s="43"/>
      <c r="O194" s="94"/>
    </row>
    <row r="195" spans="3:15" ht="16.5">
      <c r="C195" s="40"/>
      <c r="D195" s="43"/>
      <c r="E195" s="43"/>
      <c r="F195" s="489"/>
      <c r="G195" s="489"/>
      <c r="H195" s="489"/>
      <c r="I195" s="489"/>
      <c r="J195" s="489"/>
      <c r="K195" s="489"/>
      <c r="L195" s="43"/>
      <c r="M195" s="43"/>
      <c r="N195" s="43"/>
      <c r="O195" s="94"/>
    </row>
    <row r="196" spans="3:15" ht="16.5">
      <c r="C196" s="40"/>
      <c r="D196" s="43"/>
      <c r="E196" s="43"/>
      <c r="F196" s="489"/>
      <c r="G196" s="489"/>
      <c r="H196" s="489"/>
      <c r="I196" s="489"/>
      <c r="J196" s="489"/>
      <c r="K196" s="489"/>
      <c r="L196" s="43"/>
      <c r="M196" s="43"/>
      <c r="N196" s="43"/>
      <c r="O196" s="94"/>
    </row>
    <row r="197" spans="3:15" ht="16.5">
      <c r="C197" s="40"/>
      <c r="D197" s="43"/>
      <c r="E197" s="43"/>
      <c r="F197" s="489"/>
      <c r="G197" s="489"/>
      <c r="H197" s="489"/>
      <c r="I197" s="489"/>
      <c r="J197" s="489"/>
      <c r="K197" s="489"/>
      <c r="L197" s="43"/>
      <c r="M197" s="43"/>
      <c r="N197" s="43"/>
      <c r="O197" s="94"/>
    </row>
    <row r="198" spans="3:15" ht="16.5">
      <c r="C198" s="40"/>
      <c r="D198" s="43"/>
      <c r="E198" s="43"/>
      <c r="F198" s="489"/>
      <c r="G198" s="489"/>
      <c r="H198" s="489"/>
      <c r="I198" s="489"/>
      <c r="J198" s="489"/>
      <c r="K198" s="489"/>
      <c r="L198" s="43"/>
      <c r="M198" s="43"/>
      <c r="N198" s="43"/>
      <c r="O198" s="94"/>
    </row>
    <row r="199" spans="3:15" ht="16.5">
      <c r="C199" s="40"/>
      <c r="D199" s="43"/>
      <c r="E199" s="43"/>
      <c r="F199" s="489"/>
      <c r="G199" s="489"/>
      <c r="H199" s="489"/>
      <c r="I199" s="489"/>
      <c r="J199" s="489"/>
      <c r="K199" s="489"/>
      <c r="L199" s="43"/>
      <c r="M199" s="43"/>
      <c r="N199" s="43"/>
      <c r="O199" s="94"/>
    </row>
    <row r="200" spans="3:15" ht="16.5">
      <c r="C200" s="40"/>
      <c r="D200" s="43"/>
      <c r="E200" s="43"/>
      <c r="F200" s="489"/>
      <c r="G200" s="489"/>
      <c r="H200" s="489"/>
      <c r="I200" s="489"/>
      <c r="J200" s="489"/>
      <c r="K200" s="489"/>
      <c r="L200" s="43"/>
      <c r="M200" s="43"/>
      <c r="N200" s="43"/>
      <c r="O200" s="94"/>
    </row>
    <row r="201" spans="3:15" ht="16.5">
      <c r="C201" s="40"/>
      <c r="D201" s="43"/>
      <c r="E201" s="43"/>
      <c r="F201" s="489"/>
      <c r="G201" s="489"/>
      <c r="H201" s="489"/>
      <c r="I201" s="489"/>
      <c r="J201" s="489"/>
      <c r="K201" s="489"/>
      <c r="L201" s="43"/>
      <c r="M201" s="43"/>
      <c r="N201" s="43"/>
      <c r="O201" s="94"/>
    </row>
    <row r="202" spans="3:15" ht="16.5">
      <c r="C202" s="40"/>
      <c r="D202" s="43"/>
      <c r="E202" s="43"/>
      <c r="F202" s="489"/>
      <c r="G202" s="489"/>
      <c r="H202" s="489"/>
      <c r="I202" s="489"/>
      <c r="J202" s="489"/>
      <c r="K202" s="489"/>
      <c r="L202" s="43"/>
      <c r="M202" s="43"/>
      <c r="N202" s="43"/>
      <c r="O202" s="94"/>
    </row>
    <row r="203" spans="3:15" ht="16.5">
      <c r="C203" s="40"/>
      <c r="D203" s="43"/>
      <c r="E203" s="43"/>
      <c r="F203" s="489"/>
      <c r="G203" s="489"/>
      <c r="H203" s="489"/>
      <c r="I203" s="489"/>
      <c r="J203" s="43"/>
      <c r="K203" s="43"/>
      <c r="L203" s="43"/>
      <c r="M203" s="43"/>
      <c r="N203" s="43"/>
      <c r="O203" s="94"/>
    </row>
    <row r="204" spans="3:15" ht="16.5">
      <c r="C204" s="40"/>
      <c r="D204" s="43"/>
      <c r="E204" s="43"/>
      <c r="F204" s="489"/>
      <c r="G204" s="489"/>
      <c r="H204" s="489"/>
      <c r="I204" s="489"/>
      <c r="J204" s="43"/>
      <c r="K204" s="43"/>
      <c r="L204" s="43"/>
      <c r="M204" s="43"/>
      <c r="N204" s="43"/>
      <c r="O204" s="94"/>
    </row>
    <row r="205" spans="3:15" ht="16.5">
      <c r="C205" s="40"/>
      <c r="D205" s="43"/>
      <c r="E205" s="43"/>
      <c r="F205" s="489"/>
      <c r="G205" s="489"/>
      <c r="H205" s="489"/>
      <c r="I205" s="489"/>
      <c r="J205" s="43"/>
      <c r="K205" s="43"/>
      <c r="L205" s="43"/>
      <c r="M205" s="43"/>
      <c r="N205" s="43"/>
      <c r="O205" s="47"/>
    </row>
    <row r="206" spans="3:15" ht="16.5">
      <c r="C206" s="40"/>
      <c r="D206" s="43"/>
      <c r="E206" s="43"/>
      <c r="F206" s="489"/>
      <c r="G206" s="489"/>
      <c r="H206" s="489"/>
      <c r="I206" s="489"/>
      <c r="J206" s="43"/>
      <c r="K206" s="43"/>
      <c r="L206" s="43"/>
      <c r="M206" s="43"/>
      <c r="N206" s="43"/>
      <c r="O206" s="47"/>
    </row>
    <row r="207" spans="3:15" ht="16.5">
      <c r="C207" s="40"/>
      <c r="D207" s="43"/>
      <c r="E207" s="43"/>
      <c r="F207" s="489"/>
      <c r="G207" s="489"/>
      <c r="H207" s="489"/>
      <c r="I207" s="489"/>
      <c r="J207" s="43"/>
      <c r="K207" s="43"/>
      <c r="L207" s="43"/>
      <c r="M207" s="43"/>
      <c r="N207" s="43"/>
      <c r="O207" s="47"/>
    </row>
    <row r="208" spans="3:15" ht="16.5">
      <c r="C208" s="40"/>
      <c r="D208" s="43"/>
      <c r="E208" s="43"/>
      <c r="F208" s="489"/>
      <c r="G208" s="489"/>
      <c r="H208" s="489"/>
      <c r="I208" s="489"/>
      <c r="J208" s="43"/>
      <c r="K208" s="43"/>
      <c r="L208" s="43"/>
      <c r="M208" s="43"/>
      <c r="N208" s="43"/>
      <c r="O208" s="47"/>
    </row>
    <row r="209" spans="3:15" ht="16.5">
      <c r="C209" s="40"/>
      <c r="D209" s="43"/>
      <c r="E209" s="43"/>
      <c r="F209" s="489"/>
      <c r="G209" s="489"/>
      <c r="H209" s="489"/>
      <c r="I209" s="489"/>
      <c r="J209" s="43"/>
      <c r="K209" s="43"/>
      <c r="L209" s="43"/>
      <c r="M209" s="43"/>
      <c r="N209" s="43"/>
      <c r="O209" s="47"/>
    </row>
    <row r="210" spans="3:15" ht="16.5">
      <c r="C210" s="40"/>
      <c r="D210" s="43"/>
      <c r="E210" s="43"/>
      <c r="F210" s="489"/>
      <c r="G210" s="489"/>
      <c r="H210" s="489"/>
      <c r="I210" s="489"/>
      <c r="J210" s="43"/>
      <c r="K210" s="43"/>
      <c r="L210" s="43"/>
      <c r="M210" s="43"/>
      <c r="N210" s="43"/>
      <c r="O210" s="47"/>
    </row>
    <row r="211" spans="3:15" ht="16.5">
      <c r="C211" s="40"/>
      <c r="D211" s="43"/>
      <c r="E211" s="43"/>
      <c r="F211" s="489"/>
      <c r="G211" s="489"/>
      <c r="H211" s="489"/>
      <c r="I211" s="489"/>
      <c r="J211" s="43"/>
      <c r="K211" s="43"/>
      <c r="L211" s="43"/>
      <c r="M211" s="43"/>
      <c r="N211" s="43"/>
      <c r="O211" s="47"/>
    </row>
    <row r="212" spans="3:15" ht="16.5">
      <c r="C212" s="40"/>
      <c r="D212" s="43"/>
      <c r="E212" s="43"/>
      <c r="F212" s="489"/>
      <c r="G212" s="489"/>
      <c r="H212" s="489"/>
      <c r="I212" s="489"/>
      <c r="J212" s="43"/>
      <c r="K212" s="43"/>
      <c r="L212" s="43"/>
      <c r="M212" s="43"/>
      <c r="N212" s="43"/>
      <c r="O212" s="47"/>
    </row>
    <row r="213" spans="3:15" ht="16.5">
      <c r="C213" s="40"/>
      <c r="D213" s="43"/>
      <c r="E213" s="43"/>
      <c r="F213" s="489"/>
      <c r="G213" s="489"/>
      <c r="H213" s="489"/>
      <c r="I213" s="489"/>
      <c r="J213" s="43"/>
      <c r="K213" s="43"/>
      <c r="L213" s="43"/>
      <c r="M213" s="43"/>
      <c r="N213" s="43"/>
      <c r="O213" s="47"/>
    </row>
    <row r="214" spans="3:15" ht="16.5">
      <c r="C214" s="40"/>
      <c r="D214" s="43"/>
      <c r="E214" s="43"/>
      <c r="F214" s="489"/>
      <c r="G214" s="489"/>
      <c r="H214" s="489"/>
      <c r="I214" s="489"/>
      <c r="J214" s="43"/>
      <c r="K214" s="43"/>
      <c r="L214" s="43"/>
      <c r="M214" s="43"/>
      <c r="N214" s="43"/>
      <c r="O214" s="47"/>
    </row>
    <row r="215" spans="3:15" ht="16.5">
      <c r="C215" s="40"/>
      <c r="D215" s="43"/>
      <c r="E215" s="43"/>
      <c r="F215" s="489"/>
      <c r="G215" s="489"/>
      <c r="H215" s="489"/>
      <c r="I215" s="489"/>
      <c r="J215" s="43"/>
      <c r="K215" s="43"/>
      <c r="L215" s="43"/>
      <c r="M215" s="43"/>
      <c r="N215" s="43"/>
      <c r="O215" s="47"/>
    </row>
    <row r="216" spans="3:15" ht="16.5">
      <c r="C216" s="40"/>
      <c r="D216" s="43"/>
      <c r="E216" s="43"/>
      <c r="F216" s="489"/>
      <c r="G216" s="489"/>
      <c r="H216" s="489"/>
      <c r="I216" s="489"/>
      <c r="J216" s="43"/>
      <c r="K216" s="43"/>
      <c r="L216" s="43"/>
      <c r="M216" s="43"/>
      <c r="N216" s="43"/>
      <c r="O216" s="47"/>
    </row>
    <row r="217" spans="3:15" ht="16.5">
      <c r="C217" s="40"/>
      <c r="D217" s="43"/>
      <c r="E217" s="43"/>
      <c r="F217" s="489"/>
      <c r="G217" s="489"/>
      <c r="H217" s="489"/>
      <c r="I217" s="489"/>
      <c r="J217" s="43"/>
      <c r="K217" s="43"/>
      <c r="L217" s="43"/>
      <c r="M217" s="43"/>
      <c r="N217" s="43"/>
      <c r="O217" s="47"/>
    </row>
    <row r="218" spans="3:15" ht="16.5">
      <c r="C218" s="40"/>
      <c r="D218" s="43"/>
      <c r="E218" s="43"/>
      <c r="F218" s="489"/>
      <c r="G218" s="489"/>
      <c r="H218" s="489"/>
      <c r="I218" s="489"/>
      <c r="J218" s="43"/>
      <c r="K218" s="43"/>
      <c r="L218" s="43"/>
      <c r="M218" s="43"/>
      <c r="N218" s="43"/>
      <c r="O218" s="47"/>
    </row>
    <row r="219" spans="3:15" ht="16.5">
      <c r="C219" s="40"/>
      <c r="D219" s="43"/>
      <c r="E219" s="43"/>
      <c r="F219" s="489"/>
      <c r="G219" s="489"/>
      <c r="H219" s="489"/>
      <c r="I219" s="489"/>
      <c r="J219" s="43"/>
      <c r="K219" s="43"/>
      <c r="L219" s="43"/>
      <c r="M219" s="43"/>
      <c r="N219" s="43"/>
      <c r="O219" s="47"/>
    </row>
    <row r="220" spans="3:15" ht="16.5">
      <c r="C220" s="40"/>
      <c r="D220" s="43"/>
      <c r="E220" s="43"/>
      <c r="F220" s="489"/>
      <c r="G220" s="489"/>
      <c r="H220" s="489"/>
      <c r="I220" s="489"/>
      <c r="J220" s="43"/>
      <c r="K220" s="43"/>
      <c r="L220" s="43"/>
      <c r="M220" s="43"/>
      <c r="N220" s="43"/>
      <c r="O220" s="47"/>
    </row>
    <row r="221" spans="3:15" ht="16.5">
      <c r="C221" s="40"/>
      <c r="D221" s="43"/>
      <c r="E221" s="43"/>
      <c r="F221" s="489"/>
      <c r="G221" s="489"/>
      <c r="H221" s="489"/>
      <c r="I221" s="489"/>
      <c r="J221" s="43"/>
      <c r="K221" s="43"/>
      <c r="L221" s="43"/>
      <c r="M221" s="43"/>
      <c r="N221" s="43"/>
      <c r="O221" s="47"/>
    </row>
    <row r="222" spans="3:15" ht="16.5">
      <c r="C222" s="40"/>
      <c r="D222" s="43"/>
      <c r="E222" s="43"/>
      <c r="F222" s="489"/>
      <c r="G222" s="489"/>
      <c r="H222" s="489"/>
      <c r="I222" s="489"/>
      <c r="J222" s="43"/>
      <c r="K222" s="43"/>
      <c r="L222" s="43"/>
      <c r="M222" s="43"/>
      <c r="N222" s="43"/>
      <c r="O222" s="47"/>
    </row>
    <row r="223" spans="3:15" ht="16.5">
      <c r="C223" s="40"/>
      <c r="D223" s="43"/>
      <c r="E223" s="43"/>
      <c r="F223" s="489"/>
      <c r="G223" s="489"/>
      <c r="H223" s="489"/>
      <c r="I223" s="489"/>
      <c r="J223" s="43"/>
      <c r="K223" s="43"/>
      <c r="L223" s="43"/>
      <c r="M223" s="43"/>
      <c r="N223" s="43"/>
      <c r="O223" s="47"/>
    </row>
    <row r="224" spans="3:15" ht="16.5">
      <c r="C224" s="40"/>
      <c r="D224" s="43"/>
      <c r="E224" s="43"/>
      <c r="F224" s="43"/>
      <c r="G224" s="43"/>
      <c r="H224" s="489"/>
      <c r="I224" s="489"/>
      <c r="J224" s="43"/>
      <c r="K224" s="43"/>
      <c r="L224" s="43"/>
      <c r="M224" s="43"/>
      <c r="N224" s="43"/>
      <c r="O224" s="47"/>
    </row>
    <row r="225" spans="3:15" ht="16.5">
      <c r="C225" s="40"/>
      <c r="D225" s="43"/>
      <c r="E225" s="43"/>
      <c r="F225" s="43"/>
      <c r="G225" s="43"/>
      <c r="H225" s="489"/>
      <c r="I225" s="489"/>
      <c r="J225" s="43"/>
      <c r="K225" s="43"/>
      <c r="L225" s="43"/>
      <c r="M225" s="43"/>
      <c r="N225" s="43"/>
      <c r="O225" s="47"/>
    </row>
    <row r="226" spans="3:15" ht="16.5">
      <c r="C226" s="40"/>
      <c r="D226" s="43"/>
      <c r="E226" s="43"/>
      <c r="F226" s="43"/>
      <c r="G226" s="43"/>
      <c r="H226" s="489"/>
      <c r="I226" s="489"/>
      <c r="J226" s="43"/>
      <c r="K226" s="43"/>
      <c r="L226" s="43"/>
      <c r="M226" s="43"/>
      <c r="N226" s="43"/>
      <c r="O226" s="47"/>
    </row>
    <row r="227" spans="3:15" ht="16.5">
      <c r="C227" s="40"/>
      <c r="D227" s="43"/>
      <c r="E227" s="43"/>
      <c r="F227" s="43"/>
      <c r="G227" s="43"/>
      <c r="H227" s="489"/>
      <c r="I227" s="489"/>
      <c r="J227" s="43"/>
      <c r="K227" s="43"/>
      <c r="L227" s="43"/>
      <c r="M227" s="43"/>
      <c r="N227" s="43"/>
      <c r="O227" s="47"/>
    </row>
    <row r="228" spans="3:15" ht="16.5">
      <c r="C228" s="40"/>
      <c r="D228" s="43"/>
      <c r="E228" s="43"/>
      <c r="F228" s="43"/>
      <c r="G228" s="43"/>
      <c r="H228" s="489"/>
      <c r="I228" s="489"/>
      <c r="J228" s="43"/>
      <c r="K228" s="43"/>
      <c r="L228" s="43"/>
      <c r="M228" s="43"/>
      <c r="N228" s="43"/>
      <c r="O228" s="47"/>
    </row>
    <row r="229" spans="3:15" ht="16.5">
      <c r="C229" s="40"/>
      <c r="D229" s="43"/>
      <c r="E229" s="43"/>
      <c r="F229" s="43"/>
      <c r="G229" s="43"/>
      <c r="H229" s="489"/>
      <c r="I229" s="489"/>
      <c r="J229" s="43"/>
      <c r="K229" s="43"/>
      <c r="L229" s="43"/>
      <c r="M229" s="43"/>
      <c r="N229" s="43"/>
      <c r="O229" s="47"/>
    </row>
    <row r="230" spans="3:15" ht="16.5">
      <c r="C230" s="40"/>
      <c r="D230" s="43"/>
      <c r="E230" s="43"/>
      <c r="F230" s="43"/>
      <c r="G230" s="43"/>
      <c r="H230" s="489"/>
      <c r="I230" s="489"/>
      <c r="J230" s="43"/>
      <c r="K230" s="43"/>
      <c r="L230" s="43"/>
      <c r="M230" s="43"/>
      <c r="N230" s="43"/>
      <c r="O230" s="47"/>
    </row>
    <row r="231" spans="3:15" ht="16.5">
      <c r="C231" s="40"/>
      <c r="D231" s="43"/>
      <c r="E231" s="43"/>
      <c r="F231" s="43"/>
      <c r="G231" s="43"/>
      <c r="H231" s="489"/>
      <c r="I231" s="489"/>
      <c r="J231" s="43"/>
      <c r="K231" s="43"/>
      <c r="L231" s="43"/>
      <c r="M231" s="43"/>
      <c r="N231" s="43"/>
      <c r="O231" s="47"/>
    </row>
    <row r="232" spans="3:15" ht="16.5">
      <c r="C232" s="40"/>
      <c r="D232" s="43"/>
      <c r="E232" s="43"/>
      <c r="F232" s="43"/>
      <c r="G232" s="43"/>
      <c r="H232" s="489"/>
      <c r="I232" s="489"/>
      <c r="J232" s="43"/>
      <c r="K232" s="43"/>
      <c r="L232" s="43"/>
      <c r="M232" s="43"/>
      <c r="N232" s="43"/>
      <c r="O232" s="47"/>
    </row>
    <row r="233" spans="3:15" ht="16.5">
      <c r="C233" s="40"/>
      <c r="D233" s="43"/>
      <c r="E233" s="43"/>
      <c r="F233" s="43"/>
      <c r="G233" s="43"/>
      <c r="H233" s="489"/>
      <c r="I233" s="489"/>
      <c r="J233" s="43"/>
      <c r="K233" s="43"/>
      <c r="L233" s="43"/>
      <c r="M233" s="43"/>
      <c r="N233" s="43"/>
      <c r="O233" s="47"/>
    </row>
    <row r="234" spans="3:15" ht="16.5">
      <c r="C234" s="40"/>
      <c r="D234" s="43"/>
      <c r="E234" s="43"/>
      <c r="F234" s="43"/>
      <c r="G234" s="43"/>
      <c r="H234" s="489"/>
      <c r="I234" s="489"/>
      <c r="J234" s="43"/>
      <c r="K234" s="43"/>
      <c r="L234" s="43"/>
      <c r="M234" s="43"/>
      <c r="N234" s="43"/>
      <c r="O234" s="47"/>
    </row>
    <row r="235" spans="3:15" ht="16.5">
      <c r="C235" s="40"/>
      <c r="D235" s="43"/>
      <c r="E235" s="43"/>
      <c r="F235" s="43"/>
      <c r="G235" s="43"/>
      <c r="H235" s="489"/>
      <c r="I235" s="489"/>
      <c r="J235" s="43"/>
      <c r="K235" s="43"/>
      <c r="L235" s="43"/>
      <c r="M235" s="43"/>
      <c r="N235" s="43"/>
      <c r="O235" s="47"/>
    </row>
    <row r="236" spans="3:15" ht="16.5">
      <c r="C236" s="40"/>
      <c r="D236" s="43"/>
      <c r="E236" s="43"/>
      <c r="F236" s="43"/>
      <c r="G236" s="43"/>
      <c r="H236" s="489"/>
      <c r="I236" s="489"/>
      <c r="J236" s="43"/>
      <c r="K236" s="43"/>
      <c r="L236" s="43"/>
      <c r="M236" s="43"/>
      <c r="N236" s="43"/>
      <c r="O236" s="47"/>
    </row>
    <row r="237" spans="3:15" ht="16.5">
      <c r="C237" s="40"/>
      <c r="D237" s="43"/>
      <c r="E237" s="43"/>
      <c r="F237" s="43"/>
      <c r="G237" s="43"/>
      <c r="H237" s="489"/>
      <c r="I237" s="489"/>
      <c r="J237" s="43"/>
      <c r="K237" s="43"/>
      <c r="L237" s="43"/>
      <c r="M237" s="43"/>
      <c r="N237" s="43"/>
      <c r="O237" s="47"/>
    </row>
    <row r="238" spans="3:15" ht="16.5">
      <c r="C238" s="40"/>
      <c r="D238" s="43"/>
      <c r="E238" s="43"/>
      <c r="F238" s="43"/>
      <c r="G238" s="43"/>
      <c r="H238" s="489"/>
      <c r="I238" s="489"/>
      <c r="J238" s="43"/>
      <c r="K238" s="43"/>
      <c r="L238" s="43"/>
      <c r="M238" s="43"/>
      <c r="N238" s="43"/>
      <c r="O238" s="47"/>
    </row>
    <row r="239" spans="3:15" ht="16.5">
      <c r="C239" s="40"/>
      <c r="D239" s="43"/>
      <c r="E239" s="43"/>
      <c r="F239" s="43"/>
      <c r="G239" s="43"/>
      <c r="H239" s="489"/>
      <c r="I239" s="489"/>
      <c r="J239" s="43"/>
      <c r="K239" s="43"/>
      <c r="L239" s="43"/>
      <c r="M239" s="43"/>
      <c r="N239" s="43"/>
      <c r="O239" s="47"/>
    </row>
    <row r="240" spans="3:15" ht="16.5">
      <c r="C240" s="40"/>
      <c r="D240" s="43"/>
      <c r="E240" s="43"/>
      <c r="F240" s="43"/>
      <c r="G240" s="43"/>
      <c r="H240" s="489"/>
      <c r="I240" s="489"/>
      <c r="J240" s="43"/>
      <c r="K240" s="43"/>
      <c r="L240" s="43"/>
      <c r="M240" s="43"/>
      <c r="N240" s="43"/>
      <c r="O240" s="47"/>
    </row>
    <row r="241" spans="3:15" ht="16.5">
      <c r="C241" s="40"/>
      <c r="D241" s="43"/>
      <c r="E241" s="43"/>
      <c r="F241" s="43"/>
      <c r="G241" s="43"/>
      <c r="H241" s="489"/>
      <c r="I241" s="489"/>
      <c r="J241" s="43"/>
      <c r="K241" s="43"/>
      <c r="L241" s="43"/>
      <c r="M241" s="43"/>
      <c r="N241" s="43"/>
      <c r="O241" s="47"/>
    </row>
    <row r="242" spans="3:15" ht="16.5">
      <c r="C242" s="40"/>
      <c r="D242" s="43"/>
      <c r="E242" s="43"/>
      <c r="F242" s="43"/>
      <c r="G242" s="43"/>
      <c r="H242" s="489"/>
      <c r="I242" s="489"/>
      <c r="J242" s="43"/>
      <c r="K242" s="43"/>
      <c r="L242" s="43"/>
      <c r="M242" s="43"/>
      <c r="N242" s="43"/>
      <c r="O242" s="47"/>
    </row>
    <row r="243" spans="3:15" ht="16.5">
      <c r="C243" s="40"/>
      <c r="D243" s="43"/>
      <c r="E243" s="43"/>
      <c r="F243" s="43"/>
      <c r="G243" s="43"/>
      <c r="H243" s="489"/>
      <c r="I243" s="489"/>
      <c r="J243" s="43"/>
      <c r="K243" s="43"/>
      <c r="L243" s="43"/>
      <c r="M243" s="43"/>
      <c r="N243" s="43"/>
      <c r="O243" s="47"/>
    </row>
    <row r="244" spans="3:15" ht="16.5">
      <c r="C244" s="40"/>
      <c r="D244" s="43"/>
      <c r="E244" s="43"/>
      <c r="F244" s="43"/>
      <c r="G244" s="43"/>
      <c r="H244" s="489"/>
      <c r="I244" s="489"/>
      <c r="J244" s="43"/>
      <c r="K244" s="43"/>
      <c r="L244" s="43"/>
      <c r="M244" s="43"/>
      <c r="N244" s="43"/>
      <c r="O244" s="47"/>
    </row>
    <row r="245" spans="3:15" ht="16.5">
      <c r="C245" s="40"/>
      <c r="D245" s="43"/>
      <c r="E245" s="43"/>
      <c r="F245" s="43"/>
      <c r="G245" s="43"/>
      <c r="H245" s="489"/>
      <c r="I245" s="489"/>
      <c r="J245" s="43"/>
      <c r="K245" s="43"/>
      <c r="L245" s="43"/>
      <c r="M245" s="43"/>
      <c r="N245" s="43"/>
      <c r="O245" s="47"/>
    </row>
    <row r="246" spans="3:15" ht="16.5">
      <c r="C246" s="40"/>
      <c r="D246" s="43"/>
      <c r="E246" s="43"/>
      <c r="F246" s="43"/>
      <c r="G246" s="43"/>
      <c r="H246" s="489"/>
      <c r="I246" s="489"/>
      <c r="J246" s="43"/>
      <c r="K246" s="43"/>
      <c r="L246" s="43"/>
      <c r="M246" s="43"/>
      <c r="N246" s="43"/>
      <c r="O246" s="47"/>
    </row>
    <row r="247" spans="3:15" ht="16.5">
      <c r="C247" s="44"/>
      <c r="D247" s="45"/>
      <c r="E247" s="45"/>
      <c r="F247" s="45"/>
      <c r="G247" s="45"/>
      <c r="H247" s="489"/>
      <c r="I247" s="489"/>
      <c r="J247" s="45"/>
      <c r="K247" s="45"/>
      <c r="L247" s="45"/>
      <c r="M247" s="45"/>
      <c r="N247" s="45"/>
      <c r="O247" s="48"/>
    </row>
    <row r="248" spans="3:15" ht="16.5">
      <c r="C248" s="44"/>
      <c r="D248" s="45"/>
      <c r="E248" s="45"/>
      <c r="F248" s="45"/>
      <c r="G248" s="45"/>
      <c r="H248" s="489"/>
      <c r="I248" s="489"/>
      <c r="J248" s="45"/>
      <c r="K248" s="45"/>
      <c r="L248" s="45"/>
      <c r="M248" s="45"/>
      <c r="N248" s="45"/>
      <c r="O248" s="48"/>
    </row>
    <row r="249" spans="3:15" ht="16.5">
      <c r="C249" s="44"/>
      <c r="D249" s="45"/>
      <c r="E249" s="45"/>
      <c r="F249" s="45"/>
      <c r="G249" s="45"/>
      <c r="H249" s="489"/>
      <c r="I249" s="489"/>
      <c r="J249" s="45"/>
      <c r="K249" s="45"/>
      <c r="L249" s="45"/>
      <c r="M249" s="45"/>
      <c r="N249" s="45"/>
      <c r="O249" s="48"/>
    </row>
    <row r="250" spans="3:15" ht="16.5">
      <c r="C250" s="44"/>
      <c r="D250" s="45"/>
      <c r="E250" s="45"/>
      <c r="F250" s="45"/>
      <c r="G250" s="45"/>
      <c r="H250" s="489"/>
      <c r="I250" s="489"/>
      <c r="J250" s="45"/>
      <c r="K250" s="45"/>
      <c r="L250" s="45"/>
      <c r="M250" s="45"/>
      <c r="N250" s="45"/>
      <c r="O250" s="48"/>
    </row>
    <row r="251" spans="3:15" ht="16.5">
      <c r="C251" s="44"/>
      <c r="D251" s="45"/>
      <c r="E251" s="45"/>
      <c r="F251" s="45"/>
      <c r="G251" s="45"/>
      <c r="H251" s="489"/>
      <c r="I251" s="489"/>
      <c r="J251" s="45"/>
      <c r="K251" s="45"/>
      <c r="L251" s="45"/>
      <c r="M251" s="45"/>
      <c r="N251" s="45"/>
      <c r="O251" s="48"/>
    </row>
    <row r="252" spans="3:15" ht="16.5">
      <c r="C252" s="44"/>
      <c r="D252" s="45"/>
      <c r="E252" s="45"/>
      <c r="F252" s="45"/>
      <c r="G252" s="45"/>
      <c r="H252" s="489"/>
      <c r="I252" s="489"/>
      <c r="J252" s="45"/>
      <c r="K252" s="45"/>
      <c r="L252" s="45"/>
      <c r="M252" s="45"/>
      <c r="N252" s="45"/>
      <c r="O252" s="48"/>
    </row>
    <row r="253" spans="3:15" ht="16.5">
      <c r="C253" s="44"/>
      <c r="D253" s="45"/>
      <c r="E253" s="45"/>
      <c r="F253" s="45"/>
      <c r="G253" s="45"/>
      <c r="H253" s="489"/>
      <c r="I253" s="489"/>
      <c r="J253" s="45"/>
      <c r="K253" s="45"/>
      <c r="L253" s="45"/>
      <c r="M253" s="45"/>
      <c r="N253" s="45"/>
      <c r="O253" s="46"/>
    </row>
    <row r="254" spans="3:15" ht="16.5">
      <c r="C254" s="44"/>
      <c r="D254" s="45"/>
      <c r="E254" s="45"/>
      <c r="F254" s="45"/>
      <c r="G254" s="45"/>
      <c r="H254" s="489"/>
      <c r="I254" s="489"/>
      <c r="J254" s="45"/>
      <c r="K254" s="45"/>
      <c r="L254" s="45"/>
      <c r="M254" s="45"/>
      <c r="N254" s="45"/>
      <c r="O254" s="46"/>
    </row>
    <row r="255" spans="3:15" ht="16.5">
      <c r="C255" s="44"/>
      <c r="D255" s="45"/>
      <c r="E255" s="45"/>
      <c r="F255" s="45"/>
      <c r="G255" s="45"/>
      <c r="H255" s="489"/>
      <c r="I255" s="489"/>
      <c r="J255" s="45"/>
      <c r="K255" s="45"/>
      <c r="L255" s="45"/>
      <c r="M255" s="45"/>
      <c r="N255" s="45"/>
      <c r="O255" s="46"/>
    </row>
    <row r="256" spans="3:15" ht="16.5">
      <c r="C256" s="44"/>
      <c r="D256" s="45"/>
      <c r="E256" s="45"/>
      <c r="F256" s="45"/>
      <c r="G256" s="45"/>
      <c r="H256" s="489"/>
      <c r="I256" s="489"/>
      <c r="J256" s="45"/>
      <c r="K256" s="45"/>
      <c r="L256" s="45"/>
      <c r="M256" s="45"/>
      <c r="N256" s="45"/>
      <c r="O256" s="46"/>
    </row>
    <row r="257" spans="3:15" ht="16.5">
      <c r="C257" s="44"/>
      <c r="D257" s="45"/>
      <c r="E257" s="45"/>
      <c r="F257" s="45"/>
      <c r="G257" s="45"/>
      <c r="H257" s="489"/>
      <c r="I257" s="489"/>
      <c r="J257" s="45"/>
      <c r="K257" s="45"/>
      <c r="L257" s="45"/>
      <c r="M257" s="45"/>
      <c r="N257" s="45"/>
      <c r="O257" s="46"/>
    </row>
    <row r="258" spans="3:15" ht="16.5">
      <c r="C258" s="44"/>
      <c r="D258" s="45"/>
      <c r="E258" s="45"/>
      <c r="F258" s="45"/>
      <c r="G258" s="45"/>
      <c r="H258" s="489"/>
      <c r="I258" s="489"/>
      <c r="J258" s="45"/>
      <c r="K258" s="45"/>
      <c r="L258" s="45"/>
      <c r="M258" s="45"/>
      <c r="N258" s="45"/>
      <c r="O258" s="46"/>
    </row>
    <row r="259" spans="3:15" ht="16.5">
      <c r="C259" s="44"/>
      <c r="D259" s="45"/>
      <c r="E259" s="45"/>
      <c r="F259" s="45"/>
      <c r="G259" s="45"/>
      <c r="H259" s="489"/>
      <c r="I259" s="489"/>
      <c r="J259" s="45"/>
      <c r="K259" s="45"/>
      <c r="L259" s="45"/>
      <c r="M259" s="45"/>
      <c r="N259" s="45"/>
      <c r="O259" s="46"/>
    </row>
    <row r="260" spans="3:15" ht="16.5">
      <c r="C260" s="44"/>
      <c r="D260" s="45"/>
      <c r="E260" s="45"/>
      <c r="F260" s="45"/>
      <c r="G260" s="45"/>
      <c r="H260" s="489"/>
      <c r="I260" s="489"/>
      <c r="J260" s="45"/>
      <c r="K260" s="45"/>
      <c r="L260" s="45"/>
      <c r="M260" s="45"/>
      <c r="N260" s="45"/>
      <c r="O260" s="46"/>
    </row>
    <row r="261" spans="3:15" ht="16.5">
      <c r="C261" s="44"/>
      <c r="D261" s="45"/>
      <c r="E261" s="45"/>
      <c r="F261" s="45"/>
      <c r="G261" s="45"/>
      <c r="H261" s="489"/>
      <c r="I261" s="489"/>
      <c r="J261" s="45"/>
      <c r="K261" s="45"/>
      <c r="L261" s="45"/>
      <c r="M261" s="45"/>
      <c r="N261" s="45"/>
      <c r="O261" s="46"/>
    </row>
    <row r="262" spans="3:15" ht="16.5">
      <c r="C262" s="44"/>
      <c r="D262" s="45"/>
      <c r="E262" s="45"/>
      <c r="F262" s="45"/>
      <c r="G262" s="45"/>
      <c r="H262" s="489"/>
      <c r="I262" s="489"/>
      <c r="J262" s="45"/>
      <c r="K262" s="45"/>
      <c r="L262" s="45"/>
      <c r="M262" s="45"/>
      <c r="N262" s="45"/>
      <c r="O262" s="46"/>
    </row>
    <row r="263" spans="3:15" ht="16.5">
      <c r="C263" s="44"/>
      <c r="D263" s="45"/>
      <c r="E263" s="45"/>
      <c r="F263" s="45"/>
      <c r="G263" s="45"/>
      <c r="H263" s="489"/>
      <c r="I263" s="489"/>
      <c r="J263" s="45"/>
      <c r="K263" s="45"/>
      <c r="L263" s="45"/>
      <c r="M263" s="45"/>
      <c r="N263" s="45"/>
      <c r="O263" s="46"/>
    </row>
    <row r="264" spans="3:15" ht="16.5">
      <c r="C264" s="44"/>
      <c r="D264" s="45"/>
      <c r="E264" s="45"/>
      <c r="F264" s="45"/>
      <c r="G264" s="45"/>
      <c r="H264" s="489"/>
      <c r="I264" s="489"/>
      <c r="J264" s="45"/>
      <c r="K264" s="45"/>
      <c r="L264" s="45"/>
      <c r="M264" s="45"/>
      <c r="N264" s="45"/>
      <c r="O264" s="46"/>
    </row>
    <row r="265" spans="3:15" ht="16.5">
      <c r="C265" s="44"/>
      <c r="D265" s="45"/>
      <c r="E265" s="45"/>
      <c r="F265" s="45"/>
      <c r="G265" s="45"/>
      <c r="H265" s="489"/>
      <c r="I265" s="489"/>
      <c r="J265" s="45"/>
      <c r="K265" s="45"/>
      <c r="L265" s="45"/>
      <c r="M265" s="45"/>
      <c r="N265" s="45"/>
      <c r="O265" s="46"/>
    </row>
    <row r="266" spans="3:15" ht="16.5">
      <c r="C266" s="44"/>
      <c r="D266" s="45"/>
      <c r="E266" s="45"/>
      <c r="F266" s="45"/>
      <c r="G266" s="45"/>
      <c r="H266" s="489"/>
      <c r="I266" s="489"/>
      <c r="J266" s="45"/>
      <c r="K266" s="45"/>
      <c r="L266" s="45"/>
      <c r="M266" s="45"/>
      <c r="N266" s="45"/>
      <c r="O266" s="46"/>
    </row>
    <row r="267" spans="3:15" ht="16.5">
      <c r="C267" s="44"/>
      <c r="D267" s="45"/>
      <c r="E267" s="45"/>
      <c r="F267" s="45"/>
      <c r="G267" s="45"/>
      <c r="H267" s="489"/>
      <c r="I267" s="489"/>
      <c r="J267" s="45"/>
      <c r="K267" s="45"/>
      <c r="L267" s="45"/>
      <c r="M267" s="45"/>
      <c r="N267" s="45"/>
      <c r="O267" s="46"/>
    </row>
    <row r="268" spans="3:15" ht="16.5">
      <c r="C268" s="44"/>
      <c r="D268" s="45"/>
      <c r="E268" s="45"/>
      <c r="F268" s="45"/>
      <c r="G268" s="45"/>
      <c r="H268" s="489"/>
      <c r="I268" s="489"/>
      <c r="J268" s="45"/>
      <c r="K268" s="45"/>
      <c r="L268" s="45"/>
      <c r="M268" s="45"/>
      <c r="N268" s="45"/>
      <c r="O268" s="46"/>
    </row>
    <row r="269" spans="3:15" ht="16.5">
      <c r="C269" s="44"/>
      <c r="D269" s="45"/>
      <c r="E269" s="45"/>
      <c r="F269" s="45"/>
      <c r="G269" s="45"/>
      <c r="H269" s="489"/>
      <c r="I269" s="489"/>
      <c r="J269" s="45"/>
      <c r="K269" s="45"/>
      <c r="L269" s="45"/>
      <c r="M269" s="45"/>
      <c r="N269" s="45"/>
      <c r="O269" s="46"/>
    </row>
    <row r="270" spans="3:15" ht="16.5">
      <c r="C270" s="44"/>
      <c r="D270" s="45"/>
      <c r="E270" s="45"/>
      <c r="F270" s="45"/>
      <c r="G270" s="45"/>
      <c r="H270" s="489"/>
      <c r="I270" s="489"/>
      <c r="J270" s="45"/>
      <c r="K270" s="45"/>
      <c r="L270" s="45"/>
      <c r="M270" s="45"/>
      <c r="N270" s="45"/>
      <c r="O270" s="46"/>
    </row>
    <row r="271" spans="3:15" ht="16.5">
      <c r="C271" s="44"/>
      <c r="D271" s="45"/>
      <c r="E271" s="45"/>
      <c r="F271" s="45"/>
      <c r="G271" s="45"/>
      <c r="H271" s="489"/>
      <c r="I271" s="489"/>
      <c r="J271" s="45"/>
      <c r="K271" s="45"/>
      <c r="L271" s="45"/>
      <c r="M271" s="45"/>
      <c r="N271" s="45"/>
      <c r="O271" s="46"/>
    </row>
    <row r="272" spans="3:15" ht="16.5">
      <c r="C272" s="44"/>
      <c r="D272" s="45"/>
      <c r="E272" s="45"/>
      <c r="F272" s="45"/>
      <c r="G272" s="45"/>
      <c r="H272" s="489"/>
      <c r="I272" s="489"/>
      <c r="J272" s="45"/>
      <c r="K272" s="45"/>
      <c r="L272" s="45"/>
      <c r="M272" s="45"/>
      <c r="N272" s="45"/>
      <c r="O272" s="46"/>
    </row>
    <row r="273" spans="3:15" ht="16.5">
      <c r="C273" s="44"/>
      <c r="D273" s="45"/>
      <c r="E273" s="45"/>
      <c r="F273" s="45"/>
      <c r="G273" s="45"/>
      <c r="H273" s="489"/>
      <c r="I273" s="489"/>
      <c r="J273" s="45"/>
      <c r="K273" s="45"/>
      <c r="L273" s="45"/>
      <c r="M273" s="45"/>
      <c r="N273" s="45"/>
      <c r="O273" s="46"/>
    </row>
    <row r="274" spans="3:15" ht="16.5">
      <c r="C274" s="44"/>
      <c r="D274" s="45"/>
      <c r="E274" s="45"/>
      <c r="F274" s="45"/>
      <c r="G274" s="45"/>
      <c r="H274" s="489"/>
      <c r="I274" s="489"/>
      <c r="J274" s="45"/>
      <c r="K274" s="45"/>
      <c r="L274" s="45"/>
      <c r="M274" s="45"/>
      <c r="N274" s="45"/>
      <c r="O274" s="46"/>
    </row>
    <row r="275" spans="3:15" ht="16.5">
      <c r="C275" s="44"/>
      <c r="D275" s="45"/>
      <c r="E275" s="45"/>
      <c r="F275" s="45"/>
      <c r="G275" s="45"/>
      <c r="H275" s="489"/>
      <c r="I275" s="489"/>
      <c r="J275" s="45"/>
      <c r="K275" s="45"/>
      <c r="L275" s="45"/>
      <c r="M275" s="45"/>
      <c r="N275" s="45"/>
      <c r="O275" s="46"/>
    </row>
    <row r="276" spans="3:15" ht="16.5">
      <c r="C276" s="44"/>
      <c r="D276" s="45"/>
      <c r="E276" s="45"/>
      <c r="F276" s="45"/>
      <c r="G276" s="45"/>
      <c r="H276" s="489"/>
      <c r="I276" s="489"/>
      <c r="J276" s="45"/>
      <c r="K276" s="45"/>
      <c r="L276" s="45"/>
      <c r="M276" s="45"/>
      <c r="N276" s="45"/>
      <c r="O276" s="46"/>
    </row>
    <row r="277" spans="3:15" ht="16.5">
      <c r="C277" s="44"/>
      <c r="D277" s="45"/>
      <c r="E277" s="45"/>
      <c r="F277" s="45"/>
      <c r="G277" s="45"/>
      <c r="H277" s="489"/>
      <c r="I277" s="489"/>
      <c r="J277" s="45"/>
      <c r="K277" s="45"/>
      <c r="L277" s="45"/>
      <c r="M277" s="45"/>
      <c r="N277" s="45"/>
      <c r="O277" s="46"/>
    </row>
    <row r="278" spans="3:15" ht="16.5">
      <c r="C278" s="44"/>
      <c r="D278" s="45"/>
      <c r="E278" s="45"/>
      <c r="F278" s="45"/>
      <c r="G278" s="45"/>
      <c r="H278" s="489"/>
      <c r="I278" s="489"/>
      <c r="J278" s="45"/>
      <c r="K278" s="45"/>
      <c r="L278" s="45"/>
      <c r="M278" s="45"/>
      <c r="N278" s="45"/>
      <c r="O278" s="46"/>
    </row>
    <row r="279" spans="3:15" ht="16.5">
      <c r="C279" s="44"/>
      <c r="D279" s="45"/>
      <c r="E279" s="45"/>
      <c r="F279" s="45"/>
      <c r="G279" s="45"/>
      <c r="H279" s="489"/>
      <c r="I279" s="489"/>
      <c r="J279" s="45"/>
      <c r="K279" s="45"/>
      <c r="L279" s="45"/>
      <c r="M279" s="45"/>
      <c r="N279" s="45"/>
      <c r="O279" s="46"/>
    </row>
    <row r="280" spans="3:15" ht="16.5">
      <c r="C280" s="44"/>
      <c r="D280" s="45"/>
      <c r="E280" s="45"/>
      <c r="F280" s="45"/>
      <c r="G280" s="45"/>
      <c r="H280" s="489"/>
      <c r="I280" s="489"/>
      <c r="J280" s="45"/>
      <c r="K280" s="45"/>
      <c r="L280" s="45"/>
      <c r="M280" s="45"/>
      <c r="N280" s="45"/>
      <c r="O280" s="46"/>
    </row>
    <row r="281" spans="3:15" ht="16.5">
      <c r="C281" s="44"/>
      <c r="D281" s="45"/>
      <c r="E281" s="45"/>
      <c r="F281" s="45"/>
      <c r="G281" s="45"/>
      <c r="H281" s="489"/>
      <c r="I281" s="489"/>
      <c r="J281" s="45"/>
      <c r="K281" s="45"/>
      <c r="L281" s="45"/>
      <c r="M281" s="45"/>
      <c r="N281" s="45"/>
      <c r="O281" s="46"/>
    </row>
    <row r="282" spans="3:15" ht="16.5">
      <c r="C282" s="44"/>
      <c r="D282" s="45"/>
      <c r="E282" s="45"/>
      <c r="F282" s="45"/>
      <c r="G282" s="45"/>
      <c r="H282" s="489"/>
      <c r="I282" s="489"/>
      <c r="J282" s="45"/>
      <c r="K282" s="45"/>
      <c r="L282" s="45"/>
      <c r="M282" s="45"/>
      <c r="N282" s="45"/>
      <c r="O282" s="46"/>
    </row>
    <row r="283" spans="3:15" ht="16.5">
      <c r="C283" s="44"/>
      <c r="D283" s="45"/>
      <c r="E283" s="45"/>
      <c r="F283" s="45"/>
      <c r="G283" s="45"/>
      <c r="H283" s="489"/>
      <c r="I283" s="489"/>
      <c r="J283" s="45"/>
      <c r="K283" s="45"/>
      <c r="L283" s="45"/>
      <c r="M283" s="45"/>
      <c r="N283" s="45"/>
      <c r="O283" s="46"/>
    </row>
    <row r="284" spans="3:15" ht="16.5">
      <c r="C284" s="44"/>
      <c r="D284" s="45"/>
      <c r="E284" s="45"/>
      <c r="F284" s="45"/>
      <c r="G284" s="45"/>
      <c r="H284" s="489"/>
      <c r="I284" s="489"/>
      <c r="J284" s="45"/>
      <c r="K284" s="45"/>
      <c r="L284" s="45"/>
      <c r="M284" s="45"/>
      <c r="N284" s="45"/>
      <c r="O284" s="46"/>
    </row>
    <row r="285" spans="3:15" ht="16.5">
      <c r="C285" s="44"/>
      <c r="D285" s="45"/>
      <c r="E285" s="45"/>
      <c r="F285" s="45"/>
      <c r="G285" s="45"/>
      <c r="H285" s="489"/>
      <c r="I285" s="489"/>
      <c r="J285" s="45"/>
      <c r="K285" s="45"/>
      <c r="L285" s="45"/>
      <c r="M285" s="45"/>
      <c r="N285" s="45"/>
      <c r="O285" s="46"/>
    </row>
    <row r="286" spans="3:15" ht="16.5">
      <c r="C286" s="44"/>
      <c r="D286" s="45"/>
      <c r="E286" s="45"/>
      <c r="F286" s="45"/>
      <c r="G286" s="45"/>
      <c r="H286" s="489"/>
      <c r="I286" s="489"/>
      <c r="J286" s="45"/>
      <c r="K286" s="45"/>
      <c r="L286" s="45"/>
      <c r="M286" s="45"/>
      <c r="N286" s="45"/>
      <c r="O286" s="46"/>
    </row>
    <row r="287" spans="3:15" ht="16.5">
      <c r="C287" s="44"/>
      <c r="D287" s="45"/>
      <c r="E287" s="45"/>
      <c r="F287" s="45"/>
      <c r="G287" s="45"/>
      <c r="H287" s="489"/>
      <c r="I287" s="489"/>
      <c r="J287" s="45"/>
      <c r="K287" s="45"/>
      <c r="L287" s="45"/>
      <c r="M287" s="45"/>
      <c r="N287" s="45"/>
      <c r="O287" s="46"/>
    </row>
    <row r="288" spans="3:15" ht="16.5">
      <c r="C288" s="44"/>
      <c r="D288" s="45"/>
      <c r="E288" s="45"/>
      <c r="F288" s="45"/>
      <c r="G288" s="45"/>
      <c r="H288" s="489"/>
      <c r="I288" s="489"/>
      <c r="J288" s="45"/>
      <c r="K288" s="45"/>
      <c r="L288" s="45"/>
      <c r="M288" s="45"/>
      <c r="N288" s="45"/>
      <c r="O288" s="46"/>
    </row>
    <row r="289" spans="3:15" ht="16.5">
      <c r="C289" s="44"/>
      <c r="D289" s="45"/>
      <c r="E289" s="45"/>
      <c r="F289" s="45"/>
      <c r="G289" s="45"/>
      <c r="H289" s="489"/>
      <c r="I289" s="489"/>
      <c r="J289" s="45"/>
      <c r="K289" s="45"/>
      <c r="L289" s="45"/>
      <c r="M289" s="45"/>
      <c r="N289" s="45"/>
      <c r="O289" s="46"/>
    </row>
    <row r="290" spans="3:15" ht="16.5">
      <c r="C290" s="44"/>
      <c r="D290" s="45"/>
      <c r="E290" s="45"/>
      <c r="F290" s="45"/>
      <c r="G290" s="45"/>
      <c r="H290" s="489"/>
      <c r="I290" s="489"/>
      <c r="J290" s="45"/>
      <c r="K290" s="45"/>
      <c r="L290" s="45"/>
      <c r="M290" s="45"/>
      <c r="N290" s="45"/>
      <c r="O290" s="46"/>
    </row>
    <row r="291" spans="3:15" ht="16.5">
      <c r="C291" s="44"/>
      <c r="D291" s="45"/>
      <c r="E291" s="45"/>
      <c r="F291" s="45"/>
      <c r="G291" s="45"/>
      <c r="H291" s="489"/>
      <c r="I291" s="489"/>
      <c r="J291" s="45"/>
      <c r="K291" s="45"/>
      <c r="L291" s="45"/>
      <c r="M291" s="45"/>
      <c r="N291" s="45"/>
      <c r="O291" s="46"/>
    </row>
    <row r="292" spans="3:15" ht="16.5">
      <c r="C292" s="44"/>
      <c r="D292" s="45"/>
      <c r="E292" s="45"/>
      <c r="F292" s="45"/>
      <c r="G292" s="45"/>
      <c r="H292" s="489"/>
      <c r="I292" s="489"/>
      <c r="J292" s="45"/>
      <c r="K292" s="45"/>
      <c r="L292" s="45"/>
      <c r="M292" s="45"/>
      <c r="N292" s="45"/>
      <c r="O292" s="46"/>
    </row>
    <row r="293" spans="3:15" ht="16.5">
      <c r="C293" s="44"/>
      <c r="D293" s="45"/>
      <c r="E293" s="45"/>
      <c r="F293" s="45"/>
      <c r="G293" s="45"/>
      <c r="H293" s="489"/>
      <c r="I293" s="489"/>
      <c r="J293" s="45"/>
      <c r="K293" s="45"/>
      <c r="L293" s="45"/>
      <c r="M293" s="45"/>
      <c r="N293" s="45"/>
      <c r="O293" s="46"/>
    </row>
    <row r="294" spans="3:15" ht="16.5">
      <c r="C294" s="44"/>
      <c r="D294" s="45"/>
      <c r="E294" s="45"/>
      <c r="F294" s="45"/>
      <c r="G294" s="45"/>
      <c r="H294" s="489"/>
      <c r="I294" s="489"/>
      <c r="J294" s="45"/>
      <c r="K294" s="45"/>
      <c r="L294" s="45"/>
      <c r="M294" s="45"/>
      <c r="N294" s="45"/>
      <c r="O294" s="46"/>
    </row>
    <row r="295" spans="3:15" ht="16.5">
      <c r="C295" s="44"/>
      <c r="D295" s="45"/>
      <c r="E295" s="45"/>
      <c r="F295" s="45"/>
      <c r="G295" s="45"/>
      <c r="H295" s="489"/>
      <c r="I295" s="489"/>
      <c r="J295" s="45"/>
      <c r="K295" s="45"/>
      <c r="L295" s="45"/>
      <c r="M295" s="45"/>
      <c r="N295" s="45"/>
      <c r="O295" s="46"/>
    </row>
    <row r="296" spans="3:15" ht="16.5">
      <c r="C296" s="44"/>
      <c r="D296" s="45"/>
      <c r="E296" s="45"/>
      <c r="F296" s="45"/>
      <c r="G296" s="45"/>
      <c r="H296" s="489"/>
      <c r="I296" s="489"/>
      <c r="J296" s="45"/>
      <c r="K296" s="45"/>
      <c r="L296" s="45"/>
      <c r="M296" s="45"/>
      <c r="N296" s="45"/>
      <c r="O296" s="46"/>
    </row>
    <row r="297" spans="3:15" ht="16.5">
      <c r="C297" s="44"/>
      <c r="D297" s="45"/>
      <c r="E297" s="45"/>
      <c r="F297" s="45"/>
      <c r="G297" s="45"/>
      <c r="H297" s="489"/>
      <c r="I297" s="489"/>
      <c r="J297" s="45"/>
      <c r="K297" s="45"/>
      <c r="L297" s="45"/>
      <c r="M297" s="45"/>
      <c r="N297" s="45"/>
      <c r="O297" s="46"/>
    </row>
    <row r="298" spans="3:15" ht="16.5">
      <c r="C298" s="44"/>
      <c r="D298" s="45"/>
      <c r="E298" s="45"/>
      <c r="F298" s="45"/>
      <c r="G298" s="45"/>
      <c r="H298" s="489"/>
      <c r="I298" s="489"/>
      <c r="J298" s="45"/>
      <c r="K298" s="45"/>
      <c r="L298" s="45"/>
      <c r="M298" s="45"/>
      <c r="N298" s="45"/>
      <c r="O298" s="46"/>
    </row>
    <row r="299" spans="3:15" ht="16.5">
      <c r="C299" s="44"/>
      <c r="D299" s="45"/>
      <c r="E299" s="45"/>
      <c r="F299" s="45"/>
      <c r="G299" s="45"/>
      <c r="H299" s="489"/>
      <c r="I299" s="489"/>
      <c r="J299" s="45"/>
      <c r="K299" s="45"/>
      <c r="L299" s="45"/>
      <c r="M299" s="45"/>
      <c r="N299" s="45"/>
      <c r="O299" s="46"/>
    </row>
    <row r="300" spans="3:15" ht="16.5">
      <c r="C300" s="44"/>
      <c r="D300" s="45"/>
      <c r="E300" s="45"/>
      <c r="F300" s="45"/>
      <c r="G300" s="45"/>
      <c r="H300" s="489"/>
      <c r="I300" s="489"/>
      <c r="J300" s="45"/>
      <c r="K300" s="45"/>
      <c r="L300" s="45"/>
      <c r="M300" s="45"/>
      <c r="N300" s="45"/>
      <c r="O300" s="46"/>
    </row>
    <row r="301" spans="3:15" ht="16.5">
      <c r="C301" s="44"/>
      <c r="D301" s="45"/>
      <c r="E301" s="45"/>
      <c r="F301" s="45"/>
      <c r="G301" s="45"/>
      <c r="H301" s="489"/>
      <c r="I301" s="489"/>
      <c r="J301" s="45"/>
      <c r="K301" s="45"/>
      <c r="L301" s="45"/>
      <c r="M301" s="45"/>
      <c r="N301" s="45"/>
      <c r="O301" s="46"/>
    </row>
    <row r="302" spans="3:15" ht="16.5">
      <c r="C302" s="44"/>
      <c r="D302" s="45"/>
      <c r="E302" s="45"/>
      <c r="F302" s="45"/>
      <c r="G302" s="45"/>
      <c r="H302" s="489"/>
      <c r="I302" s="489"/>
      <c r="J302" s="45"/>
      <c r="K302" s="45"/>
      <c r="L302" s="45"/>
      <c r="M302" s="45"/>
      <c r="N302" s="45"/>
      <c r="O302" s="46"/>
    </row>
    <row r="303" spans="3:15" ht="16.5">
      <c r="C303" s="44"/>
      <c r="D303" s="45"/>
      <c r="E303" s="45"/>
      <c r="F303" s="45"/>
      <c r="G303" s="45"/>
      <c r="H303" s="489"/>
      <c r="I303" s="489"/>
      <c r="J303" s="45"/>
      <c r="K303" s="45"/>
      <c r="L303" s="45"/>
      <c r="M303" s="45"/>
      <c r="N303" s="45"/>
      <c r="O303" s="46"/>
    </row>
    <row r="304" spans="3:15" ht="16.5">
      <c r="C304" s="44"/>
      <c r="D304" s="45"/>
      <c r="E304" s="45"/>
      <c r="F304" s="45"/>
      <c r="G304" s="45"/>
      <c r="H304" s="489"/>
      <c r="I304" s="489"/>
      <c r="J304" s="45"/>
      <c r="K304" s="45"/>
      <c r="L304" s="45"/>
      <c r="M304" s="45"/>
      <c r="N304" s="45"/>
      <c r="O304" s="46"/>
    </row>
    <row r="305" spans="3:15" ht="16.5">
      <c r="C305" s="44"/>
      <c r="D305" s="45"/>
      <c r="E305" s="45"/>
      <c r="F305" s="45"/>
      <c r="G305" s="45"/>
      <c r="H305" s="489"/>
      <c r="I305" s="489"/>
      <c r="J305" s="45"/>
      <c r="K305" s="45"/>
      <c r="L305" s="45"/>
      <c r="M305" s="45"/>
      <c r="N305" s="45"/>
      <c r="O305" s="46"/>
    </row>
    <row r="306" spans="3:15" ht="16.5">
      <c r="C306" s="44"/>
      <c r="D306" s="45"/>
      <c r="E306" s="45"/>
      <c r="F306" s="45"/>
      <c r="G306" s="45"/>
      <c r="H306" s="489"/>
      <c r="I306" s="489"/>
      <c r="J306" s="45"/>
      <c r="K306" s="45"/>
      <c r="L306" s="45"/>
      <c r="M306" s="45"/>
      <c r="N306" s="45"/>
      <c r="O306" s="46"/>
    </row>
    <row r="307" spans="3:15" ht="16.5">
      <c r="C307" s="44"/>
      <c r="D307" s="45"/>
      <c r="E307" s="45"/>
      <c r="F307" s="45"/>
      <c r="G307" s="45"/>
      <c r="H307" s="489"/>
      <c r="I307" s="489"/>
      <c r="J307" s="45"/>
      <c r="K307" s="45"/>
      <c r="L307" s="45"/>
      <c r="M307" s="45"/>
      <c r="N307" s="45"/>
      <c r="O307" s="46"/>
    </row>
    <row r="308" spans="3:15" ht="16.5">
      <c r="C308" s="44"/>
      <c r="D308" s="45"/>
      <c r="E308" s="45"/>
      <c r="F308" s="45"/>
      <c r="G308" s="45"/>
      <c r="H308" s="489"/>
      <c r="I308" s="489"/>
      <c r="J308" s="45"/>
      <c r="K308" s="45"/>
      <c r="L308" s="45"/>
      <c r="M308" s="45"/>
      <c r="N308" s="45"/>
      <c r="O308" s="46"/>
    </row>
    <row r="309" spans="3:15" ht="16.5">
      <c r="C309" s="44"/>
      <c r="D309" s="45"/>
      <c r="E309" s="45"/>
      <c r="F309" s="45"/>
      <c r="G309" s="45"/>
      <c r="H309" s="489"/>
      <c r="I309" s="489"/>
      <c r="J309" s="45"/>
      <c r="K309" s="45"/>
      <c r="L309" s="45"/>
      <c r="M309" s="45"/>
      <c r="N309" s="45"/>
      <c r="O309" s="46"/>
    </row>
    <row r="310" spans="3:15" ht="16.5">
      <c r="C310" s="44"/>
      <c r="D310" s="45"/>
      <c r="E310" s="45"/>
      <c r="F310" s="45"/>
      <c r="G310" s="45"/>
      <c r="H310" s="489"/>
      <c r="I310" s="489"/>
      <c r="J310" s="45"/>
      <c r="K310" s="45"/>
      <c r="L310" s="45"/>
      <c r="M310" s="45"/>
      <c r="N310" s="45"/>
      <c r="O310" s="46"/>
    </row>
    <row r="311" spans="3:15" ht="16.5">
      <c r="C311" s="44"/>
      <c r="D311" s="45"/>
      <c r="E311" s="45"/>
      <c r="F311" s="45"/>
      <c r="G311" s="45"/>
      <c r="H311" s="489"/>
      <c r="I311" s="489"/>
      <c r="J311" s="45"/>
      <c r="K311" s="45"/>
      <c r="L311" s="45"/>
      <c r="M311" s="45"/>
      <c r="N311" s="45"/>
      <c r="O311" s="46"/>
    </row>
    <row r="312" spans="3:15" ht="16.5">
      <c r="C312" s="44"/>
      <c r="D312" s="45"/>
      <c r="E312" s="45"/>
      <c r="F312" s="45"/>
      <c r="G312" s="45"/>
      <c r="H312" s="489"/>
      <c r="I312" s="489"/>
      <c r="J312" s="45"/>
      <c r="K312" s="45"/>
      <c r="L312" s="45"/>
      <c r="M312" s="45"/>
      <c r="N312" s="45"/>
      <c r="O312" s="46"/>
    </row>
    <row r="313" spans="3:15" ht="16.5">
      <c r="C313" s="35"/>
      <c r="D313" s="34"/>
      <c r="E313" s="34"/>
      <c r="F313" s="34"/>
      <c r="G313" s="34"/>
      <c r="H313" s="490"/>
      <c r="I313" s="490"/>
      <c r="J313" s="34"/>
      <c r="K313" s="34"/>
      <c r="L313" s="34"/>
      <c r="M313" s="34"/>
      <c r="N313" s="34"/>
      <c r="O313" s="36"/>
    </row>
    <row r="314" spans="3:15" ht="16.5">
      <c r="C314" s="35"/>
      <c r="D314" s="34"/>
      <c r="E314" s="34"/>
      <c r="F314" s="34"/>
      <c r="G314" s="34"/>
      <c r="H314" s="490"/>
      <c r="I314" s="490"/>
      <c r="J314" s="34"/>
      <c r="K314" s="34"/>
      <c r="L314" s="34"/>
      <c r="M314" s="34"/>
      <c r="N314" s="34"/>
      <c r="O314" s="36"/>
    </row>
    <row r="315" spans="3:15" ht="16.5">
      <c r="C315" s="35"/>
      <c r="D315" s="34"/>
      <c r="E315" s="34"/>
      <c r="F315" s="34"/>
      <c r="G315" s="34"/>
      <c r="H315" s="490"/>
      <c r="I315" s="490"/>
      <c r="J315" s="34"/>
      <c r="K315" s="34"/>
      <c r="L315" s="34"/>
      <c r="M315" s="34"/>
      <c r="N315" s="34"/>
      <c r="O315" s="36"/>
    </row>
    <row r="316" spans="3:15" ht="16.5">
      <c r="C316" s="35"/>
      <c r="D316" s="34"/>
      <c r="E316" s="34"/>
      <c r="F316" s="34"/>
      <c r="G316" s="34"/>
      <c r="H316" s="490"/>
      <c r="I316" s="490"/>
      <c r="J316" s="34"/>
      <c r="K316" s="34"/>
      <c r="L316" s="34"/>
      <c r="M316" s="34"/>
      <c r="N316" s="34"/>
      <c r="O316" s="36"/>
    </row>
    <row r="317" spans="3:15" ht="16.5">
      <c r="C317" s="35"/>
      <c r="D317" s="34"/>
      <c r="E317" s="34"/>
      <c r="F317" s="34"/>
      <c r="G317" s="34"/>
      <c r="H317" s="490"/>
      <c r="I317" s="490"/>
      <c r="J317" s="34"/>
      <c r="K317" s="34"/>
      <c r="L317" s="34"/>
      <c r="M317" s="34"/>
      <c r="N317" s="34"/>
      <c r="O317" s="36"/>
    </row>
    <row r="318" spans="3:15" ht="16.5">
      <c r="C318" s="35"/>
      <c r="D318" s="34"/>
      <c r="E318" s="34"/>
      <c r="F318" s="34"/>
      <c r="G318" s="34"/>
      <c r="H318" s="490"/>
      <c r="I318" s="490"/>
      <c r="J318" s="34"/>
      <c r="K318" s="34"/>
      <c r="L318" s="34"/>
      <c r="M318" s="34"/>
      <c r="N318" s="34"/>
      <c r="O318" s="36"/>
    </row>
    <row r="319" spans="3:15" ht="16.5">
      <c r="C319" s="35"/>
      <c r="D319" s="34"/>
      <c r="E319" s="34"/>
      <c r="F319" s="34"/>
      <c r="G319" s="34"/>
      <c r="H319" s="490"/>
      <c r="I319" s="490"/>
      <c r="J319" s="34"/>
      <c r="K319" s="34"/>
      <c r="L319" s="34"/>
      <c r="M319" s="34"/>
      <c r="N319" s="34"/>
      <c r="O319" s="36"/>
    </row>
    <row r="320" spans="3:15" ht="16.5">
      <c r="C320" s="35"/>
      <c r="D320" s="34"/>
      <c r="E320" s="34"/>
      <c r="F320" s="34"/>
      <c r="G320" s="34"/>
      <c r="H320" s="490"/>
      <c r="I320" s="490"/>
      <c r="J320" s="34"/>
      <c r="K320" s="34"/>
      <c r="L320" s="34"/>
      <c r="M320" s="34"/>
      <c r="N320" s="34"/>
      <c r="O320" s="36"/>
    </row>
    <row r="321" spans="3:15" ht="16.5">
      <c r="C321" s="35"/>
      <c r="D321" s="34"/>
      <c r="E321" s="34"/>
      <c r="F321" s="34"/>
      <c r="G321" s="34"/>
      <c r="H321" s="490"/>
      <c r="I321" s="490"/>
      <c r="J321" s="34"/>
      <c r="K321" s="34"/>
      <c r="L321" s="34"/>
      <c r="M321" s="34"/>
      <c r="N321" s="34"/>
      <c r="O321" s="36"/>
    </row>
    <row r="322" spans="3:15" ht="16.5">
      <c r="C322" s="35"/>
      <c r="D322" s="34"/>
      <c r="E322" s="34"/>
      <c r="F322" s="34"/>
      <c r="G322" s="34"/>
      <c r="H322" s="490"/>
      <c r="I322" s="490"/>
      <c r="J322" s="34"/>
      <c r="K322" s="34"/>
      <c r="L322" s="34"/>
      <c r="M322" s="34"/>
      <c r="N322" s="34"/>
      <c r="O322" s="36"/>
    </row>
    <row r="323" spans="3:15" ht="16.5">
      <c r="C323" s="35"/>
      <c r="D323" s="34"/>
      <c r="E323" s="34"/>
      <c r="F323" s="34"/>
      <c r="G323" s="34"/>
      <c r="H323" s="490"/>
      <c r="I323" s="490"/>
      <c r="J323" s="34"/>
      <c r="K323" s="34"/>
      <c r="L323" s="34"/>
      <c r="M323" s="34"/>
      <c r="N323" s="34"/>
      <c r="O323" s="36"/>
    </row>
    <row r="324" spans="3:15" ht="16.5">
      <c r="C324" s="35"/>
      <c r="D324" s="34"/>
      <c r="E324" s="34"/>
      <c r="F324" s="34"/>
      <c r="G324" s="34"/>
      <c r="H324" s="490"/>
      <c r="I324" s="490"/>
      <c r="J324" s="34"/>
      <c r="K324" s="34"/>
      <c r="L324" s="34"/>
      <c r="M324" s="34"/>
      <c r="N324" s="34"/>
      <c r="O324" s="36"/>
    </row>
    <row r="325" spans="3:15" ht="16.5">
      <c r="C325" s="35"/>
      <c r="D325" s="34"/>
      <c r="E325" s="34"/>
      <c r="F325" s="34"/>
      <c r="G325" s="34"/>
      <c r="H325" s="490"/>
      <c r="I325" s="490"/>
      <c r="J325" s="34"/>
      <c r="K325" s="34"/>
      <c r="L325" s="34"/>
      <c r="M325" s="34"/>
      <c r="N325" s="34"/>
      <c r="O325" s="36"/>
    </row>
    <row r="326" spans="3:15" ht="16.5">
      <c r="C326" s="35"/>
      <c r="D326" s="34"/>
      <c r="E326" s="34"/>
      <c r="F326" s="34"/>
      <c r="G326" s="34"/>
      <c r="H326" s="490"/>
      <c r="I326" s="490"/>
      <c r="J326" s="34"/>
      <c r="K326" s="34"/>
      <c r="L326" s="34"/>
      <c r="M326" s="34"/>
      <c r="N326" s="34"/>
      <c r="O326" s="36"/>
    </row>
    <row r="327" spans="3:15" ht="16.5">
      <c r="C327" s="35"/>
      <c r="D327" s="34"/>
      <c r="E327" s="34"/>
      <c r="F327" s="34"/>
      <c r="G327" s="34"/>
      <c r="H327" s="490"/>
      <c r="I327" s="490"/>
      <c r="J327" s="34"/>
      <c r="K327" s="34"/>
      <c r="L327" s="34"/>
      <c r="M327" s="34"/>
      <c r="N327" s="34"/>
      <c r="O327" s="36"/>
    </row>
    <row r="328" spans="3:15" ht="16.5">
      <c r="C328" s="35"/>
      <c r="D328" s="34"/>
      <c r="E328" s="34"/>
      <c r="F328" s="34"/>
      <c r="G328" s="34"/>
      <c r="H328" s="490"/>
      <c r="I328" s="490"/>
      <c r="J328" s="34"/>
      <c r="K328" s="34"/>
      <c r="L328" s="34"/>
      <c r="M328" s="34"/>
      <c r="N328" s="34"/>
      <c r="O328" s="36"/>
    </row>
    <row r="329" spans="3:15" ht="16.5">
      <c r="C329" s="35"/>
      <c r="D329" s="34"/>
      <c r="E329" s="34"/>
      <c r="F329" s="34"/>
      <c r="G329" s="34"/>
      <c r="H329" s="490"/>
      <c r="I329" s="490"/>
      <c r="J329" s="34"/>
      <c r="K329" s="34"/>
      <c r="L329" s="34"/>
      <c r="M329" s="34"/>
      <c r="N329" s="34"/>
      <c r="O329" s="36"/>
    </row>
    <row r="330" spans="3:15" ht="16.5">
      <c r="C330" s="35"/>
      <c r="D330" s="34"/>
      <c r="E330" s="34"/>
      <c r="F330" s="34"/>
      <c r="G330" s="34"/>
      <c r="H330" s="490"/>
      <c r="I330" s="490"/>
      <c r="J330" s="34"/>
      <c r="K330" s="34"/>
      <c r="L330" s="34"/>
      <c r="M330" s="34"/>
      <c r="N330" s="34"/>
      <c r="O330" s="36"/>
    </row>
    <row r="331" spans="3:15" ht="16.5">
      <c r="C331" s="35"/>
      <c r="D331" s="34"/>
      <c r="E331" s="34"/>
      <c r="F331" s="34"/>
      <c r="G331" s="34"/>
      <c r="H331" s="490"/>
      <c r="I331" s="490"/>
      <c r="J331" s="34"/>
      <c r="K331" s="34"/>
      <c r="L331" s="34"/>
      <c r="M331" s="34"/>
      <c r="N331" s="34"/>
      <c r="O331" s="36"/>
    </row>
    <row r="332" spans="3:15" ht="16.5">
      <c r="C332" s="35"/>
      <c r="D332" s="34"/>
      <c r="E332" s="34"/>
      <c r="F332" s="34"/>
      <c r="G332" s="34"/>
      <c r="H332" s="490"/>
      <c r="I332" s="490"/>
      <c r="J332" s="34"/>
      <c r="K332" s="34"/>
      <c r="L332" s="34"/>
      <c r="M332" s="34"/>
      <c r="N332" s="34"/>
      <c r="O332" s="36"/>
    </row>
    <row r="333" spans="3:15" ht="16.5">
      <c r="C333" s="35"/>
      <c r="D333" s="34"/>
      <c r="E333" s="34"/>
      <c r="F333" s="34"/>
      <c r="G333" s="34"/>
      <c r="H333" s="490"/>
      <c r="I333" s="490"/>
      <c r="J333" s="34"/>
      <c r="K333" s="34"/>
      <c r="L333" s="34"/>
      <c r="M333" s="34"/>
      <c r="N333" s="34"/>
      <c r="O333" s="36"/>
    </row>
    <row r="334" spans="3:15" ht="16.5">
      <c r="C334" s="35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6"/>
    </row>
    <row r="335" spans="3:15" ht="16.5">
      <c r="C335" s="35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6"/>
    </row>
    <row r="336" spans="3:15" ht="16.5">
      <c r="C336" s="35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6"/>
    </row>
    <row r="337" spans="3:15" ht="16.5">
      <c r="C337" s="35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6"/>
    </row>
    <row r="338" spans="3:15" ht="16.5">
      <c r="C338" s="35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6"/>
    </row>
    <row r="339" spans="3:15" ht="16.5">
      <c r="C339" s="35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6"/>
    </row>
    <row r="340" spans="3:15" ht="16.5">
      <c r="C340" s="35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6"/>
    </row>
    <row r="341" spans="3:15" ht="16.5">
      <c r="C341" s="35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6"/>
    </row>
    <row r="342" spans="3:15" ht="16.5">
      <c r="C342" s="35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6"/>
    </row>
    <row r="343" spans="3:15" ht="16.5">
      <c r="C343" s="35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6"/>
    </row>
    <row r="344" spans="3:15" ht="16.5">
      <c r="C344" s="35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6"/>
    </row>
    <row r="345" spans="3:15" ht="16.5">
      <c r="C345" s="35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6"/>
    </row>
    <row r="346" spans="3:15" ht="16.5">
      <c r="C346" s="35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6"/>
    </row>
    <row r="347" spans="3:15" ht="16.5">
      <c r="C347" s="35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6"/>
    </row>
    <row r="348" spans="3:15" ht="16.5">
      <c r="C348" s="35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6"/>
    </row>
    <row r="349" spans="3:15" ht="16.5">
      <c r="C349" s="35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6"/>
    </row>
    <row r="350" spans="3:15" ht="16.5">
      <c r="C350" s="35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6"/>
    </row>
    <row r="351" spans="3:15" ht="16.5">
      <c r="C351" s="35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6"/>
    </row>
    <row r="352" spans="3:15" ht="16.5">
      <c r="C352" s="35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6"/>
    </row>
    <row r="353" spans="3:15" ht="16.5">
      <c r="C353" s="35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6"/>
    </row>
    <row r="354" spans="3:15" ht="16.5">
      <c r="C354" s="35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6"/>
    </row>
    <row r="355" spans="3:15" ht="17.25" thickBot="1">
      <c r="C355" s="37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9"/>
    </row>
    <row r="356" spans="3:15" ht="16.5"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</row>
    <row r="357" spans="3:15" ht="16.5"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</row>
    <row r="358" spans="3:15" ht="16.5"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</row>
    <row r="359" spans="3:15" ht="16.5"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</row>
    <row r="360" spans="3:15" ht="16.5"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</row>
    <row r="361" spans="3:15" ht="16.5"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</row>
    <row r="362" spans="3:15" ht="16.5"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</row>
    <row r="363" spans="3:15" ht="16.5"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</row>
    <row r="364" spans="3:15" ht="16.5"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</row>
    <row r="365" spans="3:15" ht="16.5"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</row>
    <row r="366" spans="3:15" ht="16.5"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</row>
    <row r="367" spans="3:15" ht="16.5"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</row>
    <row r="368" spans="3:15" ht="16.5"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</row>
    <row r="369" spans="3:15" ht="16.5"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</row>
    <row r="370" spans="3:15" ht="16.5"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</row>
    <row r="371" spans="3:15" ht="16.5"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</row>
    <row r="372" spans="3:15" ht="16.5"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</row>
    <row r="373" spans="3:15" ht="16.5"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</row>
    <row r="374" spans="3:15" ht="16.5"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</row>
    <row r="375" spans="3:15" ht="16.5"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</row>
    <row r="376" spans="3:15" ht="16.5"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</row>
    <row r="377" spans="3:15" ht="16.5"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</row>
    <row r="378" spans="3:15" ht="16.5"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</row>
    <row r="379" spans="3:15" ht="16.5"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</row>
    <row r="380" spans="3:15" ht="16.5"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</row>
    <row r="381" spans="3:15" ht="16.5"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</row>
    <row r="382" spans="3:15" ht="16.5"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</row>
    <row r="383" spans="3:15" ht="16.5"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</row>
    <row r="384" spans="3:15" ht="16.5"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</row>
    <row r="385" spans="3:15" ht="16.5"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</row>
    <row r="386" spans="3:15" ht="16.5"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</row>
    <row r="387" spans="3:15" ht="16.5"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</row>
    <row r="388" spans="3:15" ht="16.5"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</row>
    <row r="389" spans="3:15" ht="16.5"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</row>
    <row r="390" spans="3:15" ht="16.5"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</row>
    <row r="391" spans="3:15" ht="16.5"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</row>
    <row r="392" spans="3:15" ht="16.5"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</row>
    <row r="393" spans="3:15" ht="16.5"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</row>
    <row r="394" spans="3:15" ht="16.5"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</row>
    <row r="395" spans="3:15" ht="16.5"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</row>
    <row r="396" spans="3:15" ht="16.5"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</row>
    <row r="397" spans="3:15" ht="16.5"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</row>
    <row r="398" spans="3:15" ht="16.5"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</row>
    <row r="399" spans="3:15" ht="16.5"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</row>
    <row r="400" spans="3:15" ht="16.5"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</row>
    <row r="401" spans="3:15" ht="16.5"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</row>
    <row r="402" spans="3:15" ht="16.5"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</row>
    <row r="403" spans="3:15" ht="16.5"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</row>
    <row r="404" spans="3:15" ht="16.5"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</row>
    <row r="405" spans="3:15" ht="16.5"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</row>
    <row r="406" spans="3:15" ht="16.5"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</row>
    <row r="407" spans="3:15" ht="16.5"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</row>
    <row r="408" spans="3:15" ht="16.5"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</row>
    <row r="409" spans="3:15" ht="16.5"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</row>
    <row r="410" spans="3:15" ht="16.5"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</row>
    <row r="411" spans="3:15" ht="16.5"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</row>
    <row r="412" spans="3:15" ht="16.5"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</row>
    <row r="413" spans="3:15" ht="16.5"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</row>
    <row r="414" spans="3:15" ht="16.5"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</row>
    <row r="415" spans="3:15" ht="16.5"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</row>
    <row r="416" spans="3:15" ht="16.5"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</row>
    <row r="417" spans="3:15" ht="16.5"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</row>
    <row r="418" spans="3:15" ht="16.5"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</row>
    <row r="419" spans="3:15" ht="16.5"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</row>
    <row r="420" spans="3:15" ht="16.5"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</row>
    <row r="421" spans="3:15" ht="16.5"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</row>
    <row r="422" spans="3:15" ht="16.5"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</row>
    <row r="423" spans="3:15" ht="16.5"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</row>
    <row r="424" spans="3:15" ht="16.5"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</row>
    <row r="425" spans="3:15" ht="16.5"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</row>
    <row r="426" spans="3:15" ht="16.5"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</row>
    <row r="427" spans="3:15" ht="16.5"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</row>
    <row r="428" spans="3:15" ht="16.5"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</row>
    <row r="429" spans="3:15" ht="16.5"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</row>
    <row r="430" spans="3:15" ht="16.5"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</row>
    <row r="431" spans="3:15" ht="16.5"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</row>
    <row r="432" spans="3:15" ht="16.5"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</row>
    <row r="433" spans="3:15" ht="16.5"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</row>
    <row r="434" spans="3:15" ht="16.5"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</row>
    <row r="435" spans="3:15" ht="16.5"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</row>
    <row r="436" spans="3:15" ht="16.5"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</row>
    <row r="437" spans="3:15" ht="16.5"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</row>
    <row r="438" spans="3:15" ht="16.5"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</row>
    <row r="439" spans="3:15" ht="16.5"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</row>
    <row r="440" spans="3:15" ht="16.5"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</row>
    <row r="441" spans="3:15" ht="16.5"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</row>
    <row r="442" spans="3:15" ht="16.5"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</row>
    <row r="443" spans="3:15" ht="16.5"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</row>
    <row r="444" spans="3:15" ht="16.5"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</row>
    <row r="445" spans="3:15" ht="16.5"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</row>
    <row r="446" spans="3:15" ht="16.5"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</row>
    <row r="447" spans="3:15" ht="16.5"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</row>
    <row r="448" spans="3:15" ht="16.5"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</row>
    <row r="449" spans="3:15" ht="16.5"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</row>
    <row r="450" spans="3:15" ht="16.5"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</row>
    <row r="451" spans="3:15" ht="16.5"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</row>
    <row r="452" spans="3:15" ht="16.5"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</row>
    <row r="453" spans="3:15" ht="16.5"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</row>
    <row r="454" spans="3:15" ht="16.5"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</row>
    <row r="455" spans="3:15" ht="16.5"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</row>
    <row r="456" spans="3:15" ht="16.5"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</row>
    <row r="457" spans="3:15" ht="16.5"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</row>
    <row r="458" spans="3:15" ht="16.5"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</row>
    <row r="459" spans="3:15" ht="16.5"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</row>
    <row r="460" spans="3:15" ht="16.5"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</row>
    <row r="461" spans="3:15" ht="16.5"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</row>
    <row r="462" spans="3:15" ht="16.5"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</row>
    <row r="463" spans="3:15" ht="16.5"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</row>
    <row r="464" spans="3:15" ht="16.5"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</row>
    <row r="465" spans="3:15" ht="16.5"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</row>
    <row r="466" spans="3:15" ht="16.5"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</row>
    <row r="467" spans="3:15" ht="16.5"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</row>
    <row r="468" spans="3:15" ht="16.5"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</row>
    <row r="469" spans="3:15" ht="16.5"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</row>
    <row r="470" spans="3:15" ht="16.5"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</row>
    <row r="471" spans="3:15" ht="16.5"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</row>
    <row r="472" spans="3:15" ht="16.5"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</row>
    <row r="473" spans="3:15" ht="16.5"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</row>
    <row r="474" spans="3:15" ht="16.5"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</row>
    <row r="475" spans="3:15" ht="16.5"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</row>
    <row r="476" spans="3:15" ht="16.5"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</row>
    <row r="477" spans="3:15" ht="16.5"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</row>
    <row r="478" spans="3:15" ht="16.5"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</row>
    <row r="479" spans="3:15" ht="16.5"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</row>
    <row r="480" spans="3:15" ht="16.5"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</row>
    <row r="481" spans="3:15" ht="16.5"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</row>
    <row r="482" spans="3:15" ht="16.5"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</row>
    <row r="483" spans="3:15" ht="16.5"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</row>
    <row r="484" spans="3:15" ht="16.5"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</row>
    <row r="485" spans="3:15" ht="16.5"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</row>
    <row r="486" spans="3:15" ht="16.5"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</row>
    <row r="487" spans="3:15" ht="16.5"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</row>
    <row r="488" spans="3:15" ht="16.5"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</row>
    <row r="489" spans="3:15" ht="16.5"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</row>
    <row r="490" spans="3:15" ht="16.5"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</row>
    <row r="491" spans="3:15" ht="16.5"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</row>
    <row r="492" spans="3:15" ht="16.5"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</row>
    <row r="493" spans="3:15" ht="16.5"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</row>
    <row r="494" spans="3:15" ht="16.5"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</row>
    <row r="495" spans="3:15" ht="16.5"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</row>
    <row r="496" spans="3:15" ht="16.5"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</row>
    <row r="497" spans="3:15" ht="16.5"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</row>
    <row r="498" spans="3:15" ht="16.5"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</row>
    <row r="499" spans="3:15" ht="16.5"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</row>
    <row r="500" spans="3:15" ht="16.5"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</row>
    <row r="501" spans="3:15" ht="16.5"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</row>
    <row r="502" spans="3:15" ht="16.5"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</row>
    <row r="503" spans="3:15" ht="16.5"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</row>
    <row r="504" spans="3:15" ht="16.5"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</row>
    <row r="505" spans="3:15" ht="16.5"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</row>
    <row r="506" spans="3:15" ht="16.5"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</row>
    <row r="507" spans="3:15" ht="16.5"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</row>
    <row r="508" spans="3:15" ht="16.5"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</row>
    <row r="509" spans="3:15" ht="16.5"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</row>
    <row r="510" spans="3:15" ht="16.5"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</row>
    <row r="511" spans="3:15" ht="16.5"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</row>
    <row r="512" spans="3:15" ht="16.5"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</row>
    <row r="513" spans="3:15" ht="16.5"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</row>
    <row r="514" spans="3:15" ht="16.5"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</row>
    <row r="515" spans="3:15" ht="16.5"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</row>
    <row r="516" spans="3:15" ht="16.5"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</row>
    <row r="517" spans="3:15" ht="16.5"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</row>
    <row r="518" spans="3:15" ht="16.5"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</row>
    <row r="519" spans="3:15" ht="16.5"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</row>
    <row r="520" spans="3:15" ht="16.5"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</row>
    <row r="521" spans="3:15" ht="16.5"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</row>
    <row r="522" spans="3:15" ht="16.5"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</row>
    <row r="523" spans="3:15" ht="16.5"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</row>
    <row r="524" spans="3:15" ht="16.5"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</row>
    <row r="525" spans="3:15" ht="16.5"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</row>
    <row r="526" spans="3:15" ht="16.5"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</row>
    <row r="527" spans="3:15" ht="16.5"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</row>
    <row r="528" spans="3:15" ht="16.5"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</row>
    <row r="529" spans="3:15" ht="16.5"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</row>
    <row r="530" spans="3:15" ht="16.5"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</row>
    <row r="531" spans="3:15" ht="16.5"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</row>
    <row r="532" spans="3:15" ht="16.5"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</row>
    <row r="533" spans="3:15" ht="16.5"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</row>
    <row r="534" spans="3:15" ht="16.5"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</row>
    <row r="535" spans="3:15" ht="16.5"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</row>
    <row r="536" spans="3:15" ht="16.5"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</row>
    <row r="537" spans="3:15" ht="16.5"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</row>
    <row r="538" spans="3:15" ht="16.5"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</row>
    <row r="539" spans="3:15" ht="16.5"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</row>
    <row r="540" spans="3:15" ht="16.5"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</row>
    <row r="541" spans="3:15" ht="16.5"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</row>
    <row r="542" spans="3:15" ht="16.5"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</row>
    <row r="543" spans="3:15" ht="16.5"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</row>
    <row r="544" spans="3:15" ht="16.5"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</row>
    <row r="545" spans="3:15" ht="16.5"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</row>
    <row r="546" spans="3:15" ht="16.5"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</row>
    <row r="547" spans="3:15" ht="16.5"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</row>
    <row r="548" spans="3:15" ht="16.5"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</row>
    <row r="549" spans="3:15" ht="16.5"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</row>
    <row r="550" spans="3:15" ht="16.5"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</row>
    <row r="551" spans="3:15" ht="16.5"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</row>
    <row r="552" spans="3:15" ht="16.5"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</row>
    <row r="553" spans="3:15" ht="16.5"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</row>
    <row r="554" spans="3:15" ht="16.5"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</row>
    <row r="555" spans="3:15" ht="16.5"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</row>
    <row r="556" spans="3:15" ht="16.5"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</row>
    <row r="557" spans="3:15" ht="16.5"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</row>
    <row r="558" spans="3:15" ht="16.5"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</row>
    <row r="559" spans="3:15" ht="16.5"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</row>
    <row r="560" spans="3:15" ht="16.5"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</row>
    <row r="561" spans="3:15" ht="16.5"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</row>
    <row r="562" spans="3:15" ht="16.5"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</row>
    <row r="563" spans="3:15" ht="16.5"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</row>
    <row r="564" spans="3:15" ht="16.5"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</row>
    <row r="565" spans="3:15" ht="16.5"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</row>
    <row r="566" spans="3:15" ht="16.5"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</row>
    <row r="567" spans="3:15" ht="16.5"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</row>
    <row r="568" spans="3:15" ht="16.5"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</row>
    <row r="569" spans="3:15" ht="16.5"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</row>
    <row r="570" spans="3:15" ht="16.5"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</row>
    <row r="571" spans="3:15" ht="16.5"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</row>
    <row r="572" spans="3:15" ht="16.5"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</row>
    <row r="573" spans="3:15" ht="16.5"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</row>
    <row r="574" spans="3:15" ht="16.5"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</row>
    <row r="575" spans="3:15" ht="16.5"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</row>
    <row r="576" spans="3:15" ht="16.5"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</row>
    <row r="577" spans="3:15" ht="16.5"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</row>
    <row r="578" spans="3:15" ht="16.5"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</row>
    <row r="579" spans="3:15" ht="16.5"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</row>
    <row r="580" spans="3:15" ht="16.5"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</row>
    <row r="581" spans="3:15" ht="16.5"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</row>
    <row r="582" spans="3:15" ht="16.5"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</row>
    <row r="583" spans="3:15" ht="16.5"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</row>
    <row r="584" spans="3:15" ht="16.5"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</row>
    <row r="585" spans="3:15" ht="16.5"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</row>
    <row r="586" spans="3:15" ht="16.5"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</row>
    <row r="587" spans="3:15" ht="16.5"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</row>
  </sheetData>
  <sheetProtection password="CC6F" sheet="1" objects="1" scenarios="1" sort="0" autoFilter="0"/>
  <autoFilter ref="D24:E119">
    <filterColumn colId="0">
      <filters>
        <filter val="AER"/>
        <filter val="KQT"/>
        <filter val="REN"/>
        <filter val="SUI"/>
      </filters>
    </filterColumn>
    <filterColumn colId="1">
      <filters>
        <filter val="GOJ"/>
        <filter val="NBC"/>
      </filters>
    </filterColumn>
  </autoFilter>
  <mergeCells count="811">
    <mergeCell ref="J199:K199"/>
    <mergeCell ref="J200:K200"/>
    <mergeCell ref="J201:K201"/>
    <mergeCell ref="J202:K202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83:K83"/>
    <mergeCell ref="J84:K84"/>
    <mergeCell ref="J85:K85"/>
    <mergeCell ref="J86:K86"/>
    <mergeCell ref="J87:K87"/>
    <mergeCell ref="J88:K88"/>
    <mergeCell ref="J89:K89"/>
    <mergeCell ref="J90:K90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83:I83"/>
    <mergeCell ref="H84:I84"/>
    <mergeCell ref="H85:I85"/>
    <mergeCell ref="H86:I86"/>
    <mergeCell ref="H87:I87"/>
    <mergeCell ref="H88:I88"/>
    <mergeCell ref="H89:I89"/>
    <mergeCell ref="H90:I90"/>
    <mergeCell ref="F218:G218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00:G200"/>
    <mergeCell ref="F201:G201"/>
    <mergeCell ref="F202:G202"/>
    <mergeCell ref="F203:G203"/>
    <mergeCell ref="F204:G204"/>
    <mergeCell ref="F205:G205"/>
    <mergeCell ref="F206:G206"/>
    <mergeCell ref="F219:G219"/>
    <mergeCell ref="F220:G220"/>
    <mergeCell ref="F221:G221"/>
    <mergeCell ref="F222:G222"/>
    <mergeCell ref="F223:G223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F209:G209"/>
    <mergeCell ref="F207:G207"/>
    <mergeCell ref="F208:G208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84:G84"/>
    <mergeCell ref="F85:G85"/>
    <mergeCell ref="F86:G86"/>
    <mergeCell ref="F87:G87"/>
    <mergeCell ref="F88:G88"/>
    <mergeCell ref="F89:G89"/>
    <mergeCell ref="F90:G90"/>
    <mergeCell ref="F91:G91"/>
    <mergeCell ref="A1:B102"/>
    <mergeCell ref="C1:R1"/>
    <mergeCell ref="P2:R112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L24:N24"/>
    <mergeCell ref="O24:O25"/>
    <mergeCell ref="C2:O2"/>
    <mergeCell ref="C24:C25"/>
    <mergeCell ref="F63:G63"/>
    <mergeCell ref="H63:I63"/>
    <mergeCell ref="J63:K63"/>
    <mergeCell ref="F64:G64"/>
    <mergeCell ref="H64:I64"/>
    <mergeCell ref="J64:K64"/>
    <mergeCell ref="F61:G61"/>
    <mergeCell ref="H61:I61"/>
    <mergeCell ref="J61:K61"/>
    <mergeCell ref="F62:G62"/>
    <mergeCell ref="H62:I62"/>
    <mergeCell ref="J62:K62"/>
    <mergeCell ref="F59:G59"/>
    <mergeCell ref="H59:I59"/>
    <mergeCell ref="J59:K59"/>
    <mergeCell ref="F60:G60"/>
    <mergeCell ref="H60:I60"/>
    <mergeCell ref="J60:K60"/>
    <mergeCell ref="F57:G57"/>
    <mergeCell ref="H57:I57"/>
    <mergeCell ref="J57:K57"/>
    <mergeCell ref="F58:G58"/>
    <mergeCell ref="H58:I58"/>
    <mergeCell ref="J58:K58"/>
    <mergeCell ref="F55:G55"/>
    <mergeCell ref="H55:I55"/>
    <mergeCell ref="J55:K55"/>
    <mergeCell ref="F56:G56"/>
    <mergeCell ref="H56:I56"/>
    <mergeCell ref="J56:K56"/>
    <mergeCell ref="F53:G53"/>
    <mergeCell ref="H53:I53"/>
    <mergeCell ref="J53:K53"/>
    <mergeCell ref="F54:G54"/>
    <mergeCell ref="H54:I54"/>
    <mergeCell ref="J54:K54"/>
    <mergeCell ref="F51:G51"/>
    <mergeCell ref="H51:I51"/>
    <mergeCell ref="J51:K51"/>
    <mergeCell ref="F52:G52"/>
    <mergeCell ref="H52:I52"/>
    <mergeCell ref="J52:K52"/>
    <mergeCell ref="F49:G49"/>
    <mergeCell ref="H49:I49"/>
    <mergeCell ref="J49:K49"/>
    <mergeCell ref="F50:G50"/>
    <mergeCell ref="H50:I50"/>
    <mergeCell ref="J50:K50"/>
    <mergeCell ref="F47:G47"/>
    <mergeCell ref="H47:I47"/>
    <mergeCell ref="J47:K47"/>
    <mergeCell ref="F48:G48"/>
    <mergeCell ref="H48:I48"/>
    <mergeCell ref="J48:K48"/>
    <mergeCell ref="F45:G45"/>
    <mergeCell ref="H45:I45"/>
    <mergeCell ref="J45:K45"/>
    <mergeCell ref="F46:G46"/>
    <mergeCell ref="H46:I46"/>
    <mergeCell ref="J46:K46"/>
    <mergeCell ref="F43:G43"/>
    <mergeCell ref="H43:I43"/>
    <mergeCell ref="J43:K43"/>
    <mergeCell ref="F44:G44"/>
    <mergeCell ref="H44:I44"/>
    <mergeCell ref="J44:K44"/>
    <mergeCell ref="F41:G41"/>
    <mergeCell ref="H41:I41"/>
    <mergeCell ref="J41:K41"/>
    <mergeCell ref="F42:G42"/>
    <mergeCell ref="H42:I42"/>
    <mergeCell ref="J42:K42"/>
    <mergeCell ref="F40:G40"/>
    <mergeCell ref="H40:I40"/>
    <mergeCell ref="J40:K40"/>
    <mergeCell ref="F37:G37"/>
    <mergeCell ref="H37:I37"/>
    <mergeCell ref="J37:K37"/>
    <mergeCell ref="F38:G38"/>
    <mergeCell ref="H38:I38"/>
    <mergeCell ref="J38:K38"/>
    <mergeCell ref="F36:G36"/>
    <mergeCell ref="H36:I36"/>
    <mergeCell ref="J36:K36"/>
    <mergeCell ref="F34:G34"/>
    <mergeCell ref="H34:I34"/>
    <mergeCell ref="J34:K34"/>
    <mergeCell ref="F39:G39"/>
    <mergeCell ref="H39:I39"/>
    <mergeCell ref="J39:K39"/>
    <mergeCell ref="F27:G27"/>
    <mergeCell ref="H27:I27"/>
    <mergeCell ref="J27:K27"/>
    <mergeCell ref="F28:G28"/>
    <mergeCell ref="H28:I28"/>
    <mergeCell ref="J28:K28"/>
    <mergeCell ref="F35:G35"/>
    <mergeCell ref="H35:I35"/>
    <mergeCell ref="J35:K35"/>
    <mergeCell ref="F33:G33"/>
    <mergeCell ref="H33:I33"/>
    <mergeCell ref="J33:K33"/>
    <mergeCell ref="F29:G29"/>
    <mergeCell ref="H29:I29"/>
    <mergeCell ref="J29:K29"/>
    <mergeCell ref="F30:G30"/>
    <mergeCell ref="F31:G31"/>
    <mergeCell ref="H31:I31"/>
    <mergeCell ref="J31:K31"/>
    <mergeCell ref="F32:G32"/>
    <mergeCell ref="H32:I32"/>
    <mergeCell ref="J32:K32"/>
    <mergeCell ref="H30:I30"/>
    <mergeCell ref="J30:K30"/>
    <mergeCell ref="D24:D25"/>
    <mergeCell ref="E24:E25"/>
    <mergeCell ref="F24:K24"/>
    <mergeCell ref="F25:G25"/>
    <mergeCell ref="H25:I25"/>
    <mergeCell ref="J25:K25"/>
    <mergeCell ref="F26:G26"/>
    <mergeCell ref="H26:I26"/>
    <mergeCell ref="J26:K26"/>
    <mergeCell ref="C7:I7"/>
    <mergeCell ref="J7:O7"/>
    <mergeCell ref="C8:D8"/>
    <mergeCell ref="E8:F8"/>
    <mergeCell ref="G8:I8"/>
    <mergeCell ref="J8:K8"/>
    <mergeCell ref="L8:M8"/>
    <mergeCell ref="N8:O8"/>
    <mergeCell ref="C9:D9"/>
    <mergeCell ref="G9:I9"/>
    <mergeCell ref="J9:K9"/>
    <mergeCell ref="C3:D3"/>
    <mergeCell ref="C4:D4"/>
    <mergeCell ref="C5:D5"/>
    <mergeCell ref="E3:F3"/>
    <mergeCell ref="G3:H3"/>
    <mergeCell ref="I3:J3"/>
    <mergeCell ref="G4:H4"/>
    <mergeCell ref="E4:F4"/>
    <mergeCell ref="C6:O6"/>
    <mergeCell ref="K3:L3"/>
    <mergeCell ref="M3:O3"/>
    <mergeCell ref="I4:J4"/>
    <mergeCell ref="E5:F5"/>
    <mergeCell ref="G5:H5"/>
    <mergeCell ref="I5:J5"/>
    <mergeCell ref="K4:L5"/>
    <mergeCell ref="M4:O5"/>
    <mergeCell ref="C20:D20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10:D10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J10:K10"/>
    <mergeCell ref="J11:K11"/>
    <mergeCell ref="J12:K12"/>
    <mergeCell ref="J13:K13"/>
    <mergeCell ref="J14:K14"/>
    <mergeCell ref="J15:K15"/>
    <mergeCell ref="J16:K16"/>
    <mergeCell ref="J17:K17"/>
    <mergeCell ref="N18:O18"/>
    <mergeCell ref="N19:O19"/>
    <mergeCell ref="N20:O20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G20:I20"/>
    <mergeCell ref="G21:I21"/>
    <mergeCell ref="G22:I22"/>
    <mergeCell ref="G23:I23"/>
    <mergeCell ref="J20:K20"/>
    <mergeCell ref="J21:K21"/>
    <mergeCell ref="L18:M18"/>
    <mergeCell ref="L19:M19"/>
    <mergeCell ref="L20:M20"/>
    <mergeCell ref="G19:I19"/>
    <mergeCell ref="J18:K18"/>
    <mergeCell ref="J19:K19"/>
    <mergeCell ref="L21:M21"/>
    <mergeCell ref="L22:M22"/>
    <mergeCell ref="L23:M23"/>
    <mergeCell ref="N21:O21"/>
    <mergeCell ref="N22:O22"/>
    <mergeCell ref="N23:O23"/>
    <mergeCell ref="C21:D21"/>
    <mergeCell ref="C22:D22"/>
    <mergeCell ref="C23:D23"/>
    <mergeCell ref="J22:K22"/>
    <mergeCell ref="J23:K23"/>
    <mergeCell ref="E21:F21"/>
    <mergeCell ref="E22:F22"/>
    <mergeCell ref="E23:F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6"/>
  <dimension ref="A1:S34"/>
  <sheetViews>
    <sheetView tabSelected="1" workbookViewId="0">
      <selection activeCell="I17" sqref="I17"/>
    </sheetView>
  </sheetViews>
  <sheetFormatPr defaultRowHeight="15"/>
  <cols>
    <col min="1" max="1" width="10.7109375" bestFit="1" customWidth="1"/>
    <col min="2" max="3" width="10.140625" bestFit="1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175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11</v>
      </c>
      <c r="B4" s="2" t="s">
        <v>66</v>
      </c>
      <c r="C4" s="500">
        <f>AVERAGEA(I7:I40)</f>
        <v>0.48006772363272554</v>
      </c>
      <c r="D4" s="501"/>
      <c r="E4" s="500">
        <f>AVERAGEA(J7:J40)</f>
        <v>12.290491041472505</v>
      </c>
      <c r="F4" s="501"/>
      <c r="G4" s="500">
        <f>AVERAGEA(K7:K40)</f>
        <v>2.2280069793731583</v>
      </c>
      <c r="H4" s="501"/>
      <c r="I4" s="3">
        <f>C4*K2</f>
        <v>84.01185163572697</v>
      </c>
      <c r="J4" s="3">
        <f>I4*E4</f>
        <v>1032.5469099064196</v>
      </c>
      <c r="K4" s="3">
        <f>K2*G4</f>
        <v>389.90122139030268</v>
      </c>
    </row>
    <row r="5" spans="1:19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 ht="15" customHeight="1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  <c r="N6" s="492"/>
      <c r="O6" s="492"/>
      <c r="P6" s="492"/>
      <c r="Q6" s="492"/>
      <c r="R6" s="492"/>
      <c r="S6" s="492"/>
    </row>
    <row r="7" spans="1:19" ht="15.75">
      <c r="A7" s="28">
        <v>46204</v>
      </c>
      <c r="B7" s="29" t="s">
        <v>147</v>
      </c>
      <c r="C7" s="29" t="s">
        <v>73</v>
      </c>
      <c r="D7" s="29">
        <v>172</v>
      </c>
      <c r="E7" s="29">
        <v>36</v>
      </c>
      <c r="F7" s="29">
        <v>106</v>
      </c>
      <c r="G7" s="29">
        <v>1346</v>
      </c>
      <c r="H7" s="29">
        <v>449</v>
      </c>
      <c r="I7" s="25">
        <f t="shared" ref="I7:I17" si="0">F7/(D7+E7)</f>
        <v>0.50961538461538458</v>
      </c>
      <c r="J7" s="25">
        <f t="shared" ref="J7:J17" si="1">G7/F7</f>
        <v>12.69811320754717</v>
      </c>
      <c r="K7" s="25">
        <f t="shared" ref="K7:K17" si="2">H7/(D7+E7)</f>
        <v>2.1586538461538463</v>
      </c>
      <c r="N7" s="13" t="s">
        <v>49</v>
      </c>
      <c r="O7" s="14">
        <f>K2</f>
        <v>175</v>
      </c>
      <c r="P7" s="15">
        <f>I4</f>
        <v>84.01185163572697</v>
      </c>
      <c r="Q7" s="15">
        <f>J4</f>
        <v>1032.5469099064196</v>
      </c>
      <c r="R7" s="493">
        <f>Q7/P7</f>
        <v>12.290491041472507</v>
      </c>
      <c r="S7" s="493">
        <f>P7/O7</f>
        <v>0.48006772363272554</v>
      </c>
    </row>
    <row r="8" spans="1:19" ht="15.75">
      <c r="A8" s="24">
        <v>46204</v>
      </c>
      <c r="B8" s="23" t="s">
        <v>152</v>
      </c>
      <c r="C8" s="23" t="s">
        <v>65</v>
      </c>
      <c r="D8" s="23">
        <v>76</v>
      </c>
      <c r="E8" s="23">
        <v>14</v>
      </c>
      <c r="F8" s="23">
        <v>45</v>
      </c>
      <c r="G8" s="23">
        <v>526</v>
      </c>
      <c r="H8" s="29">
        <v>166</v>
      </c>
      <c r="I8" s="25">
        <f t="shared" si="0"/>
        <v>0.5</v>
      </c>
      <c r="J8" s="25">
        <f t="shared" si="1"/>
        <v>11.688888888888888</v>
      </c>
      <c r="K8" s="25">
        <f t="shared" si="2"/>
        <v>1.8444444444444446</v>
      </c>
      <c r="N8" s="13" t="s">
        <v>50</v>
      </c>
      <c r="O8" s="14">
        <f>O7</f>
        <v>175</v>
      </c>
      <c r="P8" s="16">
        <f>O8*S7</f>
        <v>84.01185163572697</v>
      </c>
      <c r="Q8" s="16">
        <f>P8*R7</f>
        <v>1032.5469099064196</v>
      </c>
      <c r="R8" s="492"/>
      <c r="S8" s="492"/>
    </row>
    <row r="9" spans="1:19">
      <c r="A9" s="24">
        <v>46206</v>
      </c>
      <c r="B9" s="23" t="s">
        <v>147</v>
      </c>
      <c r="C9" s="23" t="s">
        <v>65</v>
      </c>
      <c r="D9" s="23">
        <v>93</v>
      </c>
      <c r="E9" s="23">
        <v>17</v>
      </c>
      <c r="F9" s="23">
        <v>50</v>
      </c>
      <c r="G9" s="23">
        <v>646</v>
      </c>
      <c r="H9" s="23">
        <v>331</v>
      </c>
      <c r="I9" s="25">
        <f t="shared" si="0"/>
        <v>0.45454545454545453</v>
      </c>
      <c r="J9" s="25">
        <f t="shared" si="1"/>
        <v>12.92</v>
      </c>
      <c r="K9" s="25">
        <f t="shared" si="2"/>
        <v>3.0090909090909093</v>
      </c>
      <c r="N9" s="494" t="s">
        <v>51</v>
      </c>
      <c r="O9" s="495"/>
      <c r="P9" s="495"/>
      <c r="Q9" s="495"/>
      <c r="R9" s="495"/>
      <c r="S9" s="496"/>
    </row>
    <row r="10" spans="1:19">
      <c r="A10" s="24">
        <v>46208</v>
      </c>
      <c r="B10" s="23" t="s">
        <v>152</v>
      </c>
      <c r="C10" s="23" t="s">
        <v>73</v>
      </c>
      <c r="D10" s="23">
        <v>188</v>
      </c>
      <c r="E10" s="23">
        <v>26</v>
      </c>
      <c r="F10" s="23">
        <v>103</v>
      </c>
      <c r="G10" s="23">
        <v>1300</v>
      </c>
      <c r="H10" s="23">
        <v>338</v>
      </c>
      <c r="I10" s="25">
        <f t="shared" si="0"/>
        <v>0.48130841121495327</v>
      </c>
      <c r="J10" s="25">
        <f t="shared" si="1"/>
        <v>12.621359223300971</v>
      </c>
      <c r="K10" s="25">
        <f t="shared" si="2"/>
        <v>1.5794392523364487</v>
      </c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24">
        <v>46210</v>
      </c>
      <c r="B11" s="23" t="s">
        <v>152</v>
      </c>
      <c r="C11" s="23" t="s">
        <v>65</v>
      </c>
      <c r="D11" s="23">
        <v>81</v>
      </c>
      <c r="E11" s="23">
        <v>20</v>
      </c>
      <c r="F11" s="23">
        <v>51</v>
      </c>
      <c r="G11" s="23">
        <v>610</v>
      </c>
      <c r="H11" s="23">
        <v>206</v>
      </c>
      <c r="I11" s="25">
        <f t="shared" si="0"/>
        <v>0.50495049504950495</v>
      </c>
      <c r="J11" s="25">
        <f t="shared" si="1"/>
        <v>11.96078431372549</v>
      </c>
      <c r="K11" s="25">
        <f t="shared" si="2"/>
        <v>2.0396039603960396</v>
      </c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24">
        <v>46212</v>
      </c>
      <c r="B12" s="23" t="s">
        <v>158</v>
      </c>
      <c r="C12" s="23" t="s">
        <v>73</v>
      </c>
      <c r="D12" s="23">
        <v>135</v>
      </c>
      <c r="E12" s="23">
        <v>32</v>
      </c>
      <c r="F12" s="23">
        <v>76</v>
      </c>
      <c r="G12" s="23">
        <v>916</v>
      </c>
      <c r="H12" s="23">
        <v>618</v>
      </c>
      <c r="I12" s="25">
        <f t="shared" si="0"/>
        <v>0.45508982035928142</v>
      </c>
      <c r="J12" s="25">
        <f t="shared" si="1"/>
        <v>12.052631578947368</v>
      </c>
      <c r="K12" s="25">
        <f t="shared" si="2"/>
        <v>3.7005988023952097</v>
      </c>
      <c r="N12" s="17">
        <v>1</v>
      </c>
      <c r="O12" s="18">
        <v>0</v>
      </c>
      <c r="P12" s="19">
        <f>O12*R7</f>
        <v>0</v>
      </c>
      <c r="Q12" s="17">
        <v>3</v>
      </c>
      <c r="R12" s="18">
        <v>40</v>
      </c>
      <c r="S12" s="19">
        <f>R12*R7</f>
        <v>491.61964165890026</v>
      </c>
    </row>
    <row r="13" spans="1:19" ht="15.75">
      <c r="A13" s="24">
        <v>46213</v>
      </c>
      <c r="B13" s="23">
        <v>434</v>
      </c>
      <c r="C13" s="23" t="s">
        <v>62</v>
      </c>
      <c r="D13" s="23">
        <v>158</v>
      </c>
      <c r="E13" s="23">
        <v>27</v>
      </c>
      <c r="F13" s="23">
        <v>67</v>
      </c>
      <c r="G13" s="23">
        <v>790</v>
      </c>
      <c r="H13" s="23">
        <v>324</v>
      </c>
      <c r="I13" s="25">
        <f t="shared" si="0"/>
        <v>0.36216216216216218</v>
      </c>
      <c r="J13" s="25">
        <f t="shared" si="1"/>
        <v>11.791044776119403</v>
      </c>
      <c r="K13" s="25">
        <f t="shared" si="2"/>
        <v>1.7513513513513514</v>
      </c>
      <c r="N13" s="17">
        <v>2</v>
      </c>
      <c r="O13" s="18">
        <v>0</v>
      </c>
      <c r="P13" s="19">
        <f>O13*R7</f>
        <v>0</v>
      </c>
      <c r="Q13" s="17">
        <v>4</v>
      </c>
      <c r="R13" s="18">
        <v>40</v>
      </c>
      <c r="S13" s="19">
        <f>R7*R13</f>
        <v>491.61964165890026</v>
      </c>
    </row>
    <row r="14" spans="1:19" ht="15.75">
      <c r="A14" s="24">
        <v>46215</v>
      </c>
      <c r="B14" s="24" t="s">
        <v>152</v>
      </c>
      <c r="C14" s="23" t="s">
        <v>73</v>
      </c>
      <c r="D14" s="23">
        <v>174</v>
      </c>
      <c r="E14" s="23">
        <v>38</v>
      </c>
      <c r="F14" s="23">
        <v>114</v>
      </c>
      <c r="G14" s="23">
        <v>1388</v>
      </c>
      <c r="H14" s="23">
        <v>196</v>
      </c>
      <c r="I14" s="25">
        <f t="shared" si="0"/>
        <v>0.53773584905660377</v>
      </c>
      <c r="J14" s="25">
        <f t="shared" si="1"/>
        <v>12.175438596491228</v>
      </c>
      <c r="K14" s="25">
        <f t="shared" si="2"/>
        <v>0.92452830188679247</v>
      </c>
      <c r="N14" s="17">
        <v>3</v>
      </c>
      <c r="O14" s="18">
        <v>1</v>
      </c>
      <c r="P14" s="19">
        <f>R7*O14</f>
        <v>12.290491041472507</v>
      </c>
      <c r="Q14" s="17">
        <v>5</v>
      </c>
      <c r="R14" s="18">
        <v>0</v>
      </c>
      <c r="S14" s="19">
        <f>R14*R7</f>
        <v>0</v>
      </c>
    </row>
    <row r="15" spans="1:19" ht="15.75">
      <c r="A15" s="24">
        <v>46217</v>
      </c>
      <c r="B15" s="23" t="s">
        <v>152</v>
      </c>
      <c r="C15" s="439" t="s">
        <v>73</v>
      </c>
      <c r="D15" s="23">
        <v>94</v>
      </c>
      <c r="E15" s="23">
        <v>19</v>
      </c>
      <c r="F15" s="23">
        <v>65</v>
      </c>
      <c r="G15" s="23">
        <v>822</v>
      </c>
      <c r="H15" s="23">
        <v>160</v>
      </c>
      <c r="I15" s="25">
        <f t="shared" si="0"/>
        <v>0.5752212389380531</v>
      </c>
      <c r="J15" s="25">
        <f t="shared" si="1"/>
        <v>12.646153846153846</v>
      </c>
      <c r="K15" s="25">
        <f t="shared" si="2"/>
        <v>1.415929203539823</v>
      </c>
      <c r="N15" s="17">
        <v>4</v>
      </c>
      <c r="O15" s="18">
        <v>0</v>
      </c>
      <c r="P15" s="19">
        <f>R7*O15</f>
        <v>0</v>
      </c>
      <c r="Q15" s="17">
        <v>1</v>
      </c>
      <c r="R15" s="18">
        <v>0</v>
      </c>
      <c r="S15" s="19">
        <f>R7*R15</f>
        <v>0</v>
      </c>
    </row>
    <row r="16" spans="1:19" ht="15.75">
      <c r="A16" s="24">
        <v>46218</v>
      </c>
      <c r="B16" s="23" t="s">
        <v>147</v>
      </c>
      <c r="C16" s="439" t="s">
        <v>73</v>
      </c>
      <c r="D16" s="23">
        <v>177</v>
      </c>
      <c r="E16" s="23">
        <v>33</v>
      </c>
      <c r="F16" s="23">
        <v>104</v>
      </c>
      <c r="G16" s="23">
        <v>1247</v>
      </c>
      <c r="H16" s="23">
        <v>827</v>
      </c>
      <c r="I16" s="25">
        <f t="shared" si="0"/>
        <v>0.49523809523809526</v>
      </c>
      <c r="J16" s="25">
        <f t="shared" si="1"/>
        <v>11.990384615384615</v>
      </c>
      <c r="K16" s="25">
        <f t="shared" si="2"/>
        <v>3.9380952380952383</v>
      </c>
      <c r="N16" s="17">
        <v>5</v>
      </c>
      <c r="O16" s="18">
        <v>0</v>
      </c>
      <c r="P16" s="19">
        <f>R7*O16</f>
        <v>0</v>
      </c>
      <c r="Q16" s="17"/>
      <c r="R16" s="18">
        <v>0</v>
      </c>
      <c r="S16" s="19">
        <f>R7*R16</f>
        <v>0</v>
      </c>
    </row>
    <row r="17" spans="1:19" ht="15.75">
      <c r="A17" s="24">
        <v>46220</v>
      </c>
      <c r="B17" s="23" t="s">
        <v>147</v>
      </c>
      <c r="C17" s="23" t="s">
        <v>73</v>
      </c>
      <c r="D17" s="23">
        <v>176</v>
      </c>
      <c r="E17" s="23">
        <v>29</v>
      </c>
      <c r="F17" s="23">
        <v>83</v>
      </c>
      <c r="G17" s="23">
        <v>1050</v>
      </c>
      <c r="H17" s="23">
        <v>440</v>
      </c>
      <c r="I17" s="25">
        <f t="shared" si="0"/>
        <v>0.40487804878048783</v>
      </c>
      <c r="J17" s="25">
        <f t="shared" si="1"/>
        <v>12.650602409638553</v>
      </c>
      <c r="K17" s="25">
        <f t="shared" si="2"/>
        <v>2.1463414634146343</v>
      </c>
      <c r="N17" s="17">
        <v>6</v>
      </c>
      <c r="O17" s="18">
        <v>0</v>
      </c>
      <c r="P17" s="19">
        <f>R7*O17</f>
        <v>0</v>
      </c>
      <c r="Q17" s="17"/>
      <c r="R17" s="18">
        <v>0</v>
      </c>
      <c r="S17" s="19">
        <f>R7*R17</f>
        <v>0</v>
      </c>
    </row>
    <row r="18" spans="1:19" ht="15.75">
      <c r="A18" s="24"/>
      <c r="B18" s="23"/>
      <c r="C18" s="23"/>
      <c r="D18" s="23"/>
      <c r="E18" s="23"/>
      <c r="F18" s="23"/>
      <c r="G18" s="23"/>
      <c r="H18" s="23"/>
      <c r="I18" s="25"/>
      <c r="J18" s="25"/>
      <c r="K18" s="25"/>
      <c r="N18" s="17">
        <v>7</v>
      </c>
      <c r="O18" s="18">
        <v>0</v>
      </c>
      <c r="P18" s="19">
        <f>R7*O18</f>
        <v>0</v>
      </c>
      <c r="Q18" s="17"/>
      <c r="R18" s="18">
        <v>0</v>
      </c>
      <c r="S18" s="19">
        <f>R7*R18</f>
        <v>0</v>
      </c>
    </row>
    <row r="19" spans="1:19" ht="15.75">
      <c r="A19" s="24"/>
      <c r="B19" s="23"/>
      <c r="C19" s="23"/>
      <c r="D19" s="23"/>
      <c r="E19" s="23"/>
      <c r="F19" s="23"/>
      <c r="G19" s="23"/>
      <c r="H19" s="23"/>
      <c r="I19" s="25"/>
      <c r="J19" s="25"/>
      <c r="K19" s="25"/>
      <c r="N19" s="17">
        <v>8</v>
      </c>
      <c r="O19" s="18">
        <v>30</v>
      </c>
      <c r="P19" s="19">
        <f>R7*O19</f>
        <v>368.7147312441752</v>
      </c>
      <c r="Q19" s="17"/>
      <c r="R19" s="18">
        <v>0</v>
      </c>
      <c r="S19" s="19">
        <f>R7*R19</f>
        <v>0</v>
      </c>
    </row>
    <row r="20" spans="1:19" ht="15.75">
      <c r="A20" s="24"/>
      <c r="B20" s="23"/>
      <c r="C20" s="406"/>
      <c r="D20" s="23"/>
      <c r="E20" s="23"/>
      <c r="F20" s="23"/>
      <c r="G20" s="23"/>
      <c r="H20" s="23"/>
      <c r="I20" s="25"/>
      <c r="J20" s="25"/>
      <c r="K20" s="25"/>
      <c r="N20" s="17">
        <v>9</v>
      </c>
      <c r="O20" s="18">
        <v>50</v>
      </c>
      <c r="P20" s="19">
        <f>R7*O20</f>
        <v>614.52455207362527</v>
      </c>
      <c r="Q20" s="17"/>
      <c r="R20" s="18">
        <v>0</v>
      </c>
      <c r="S20" s="19">
        <f>R7*R20</f>
        <v>0</v>
      </c>
    </row>
    <row r="21" spans="1:19" ht="15.75">
      <c r="A21" s="24"/>
      <c r="B21" s="23"/>
      <c r="C21" s="23"/>
      <c r="D21" s="23"/>
      <c r="E21" s="23"/>
      <c r="F21" s="23"/>
      <c r="G21" s="23"/>
      <c r="H21" s="23"/>
      <c r="I21" s="25"/>
      <c r="J21" s="25"/>
      <c r="K21" s="25"/>
      <c r="N21" s="20" t="s">
        <v>53</v>
      </c>
      <c r="O21" s="18">
        <v>50</v>
      </c>
      <c r="P21" s="19">
        <f>R7*O21</f>
        <v>614.52455207362527</v>
      </c>
      <c r="Q21" s="17"/>
      <c r="R21" s="18"/>
      <c r="S21" s="19">
        <f>R7*R21</f>
        <v>0</v>
      </c>
    </row>
    <row r="22" spans="1:19" ht="15.75">
      <c r="A22" s="24"/>
      <c r="B22" s="23"/>
      <c r="C22" s="23"/>
      <c r="D22" s="23"/>
      <c r="E22" s="23"/>
      <c r="F22" s="23"/>
      <c r="G22" s="23"/>
      <c r="H22" s="23"/>
      <c r="I22" s="25"/>
      <c r="J22" s="25"/>
      <c r="K22" s="25"/>
      <c r="N22" s="13" t="s">
        <v>59</v>
      </c>
      <c r="O22" s="21">
        <f>P8-O12-O13-O14-O15-O16-O17-O18-O19-O20-O21</f>
        <v>-46.98814836427303</v>
      </c>
      <c r="P22" s="21">
        <f>Q8-P12-P13-P14-P15-P16-P17-P18-P19-P20-P21</f>
        <v>-577.50741652647866</v>
      </c>
      <c r="Q22" s="13" t="s">
        <v>59</v>
      </c>
      <c r="R22" s="21">
        <f>P8-R12-R13-R14-R15-R16-R17-R18-R19-R20-R21</f>
        <v>4.0118516357269698</v>
      </c>
      <c r="S22" s="21">
        <f>Q8-S12-S13-S14-S15-S16-S17-S18-S19-S20-S21</f>
        <v>49.307626588619087</v>
      </c>
    </row>
    <row r="23" spans="1:19">
      <c r="A23" s="24"/>
      <c r="B23" s="23"/>
      <c r="C23" s="24"/>
      <c r="D23" s="23"/>
      <c r="E23" s="23"/>
      <c r="F23" s="23"/>
      <c r="G23" s="23"/>
      <c r="H23" s="23"/>
      <c r="I23" s="25"/>
      <c r="J23" s="25"/>
      <c r="K23" s="25"/>
      <c r="N23" s="13" t="s">
        <v>60</v>
      </c>
      <c r="O23" s="16">
        <f>O12+O13+O14+O15+O16+O17+O18+O19+O20+O21</f>
        <v>131</v>
      </c>
      <c r="P23" s="16">
        <f>P12+P13+P14+P15+P16+P17+P18+P19+P20+P21</f>
        <v>1610.0543264328983</v>
      </c>
      <c r="Q23" s="13" t="s">
        <v>60</v>
      </c>
      <c r="R23" s="16">
        <f>R12+R13+R14+R15+R16+R17+R18+R19+R20+R21</f>
        <v>80</v>
      </c>
      <c r="S23" s="16">
        <f>S12+S13+S14+S15+S16+S17+S18+S19+S20+S21</f>
        <v>983.23928331780053</v>
      </c>
    </row>
    <row r="24" spans="1:19">
      <c r="A24" s="24"/>
      <c r="B24" s="23"/>
      <c r="C24" s="23"/>
      <c r="D24" s="23"/>
      <c r="E24" s="23"/>
      <c r="F24" s="23"/>
      <c r="G24" s="23"/>
      <c r="H24" s="23"/>
      <c r="I24" s="25"/>
      <c r="J24" s="25"/>
      <c r="K24" s="25"/>
    </row>
    <row r="25" spans="1:19">
      <c r="A25" s="24"/>
      <c r="B25" s="23"/>
      <c r="C25" s="23"/>
      <c r="D25" s="23"/>
      <c r="E25" s="23"/>
      <c r="F25" s="23"/>
      <c r="G25" s="23"/>
      <c r="H25" s="23"/>
      <c r="I25" s="25"/>
      <c r="J25" s="25"/>
      <c r="K25" s="25"/>
    </row>
    <row r="26" spans="1:19">
      <c r="A26" s="24"/>
      <c r="B26" s="23"/>
      <c r="C26" s="23"/>
      <c r="D26" s="23"/>
      <c r="E26" s="23"/>
      <c r="F26" s="23"/>
      <c r="G26" s="23"/>
      <c r="H26" s="23"/>
      <c r="I26" s="25"/>
      <c r="J26" s="25"/>
      <c r="K26" s="25"/>
    </row>
    <row r="27" spans="1:19">
      <c r="A27" s="24"/>
      <c r="B27" s="23"/>
      <c r="C27" s="23"/>
      <c r="D27" s="23"/>
      <c r="E27" s="23"/>
      <c r="F27" s="23"/>
      <c r="G27" s="23"/>
      <c r="H27" s="23"/>
      <c r="I27" s="25"/>
      <c r="J27" s="25"/>
      <c r="K27" s="25"/>
    </row>
    <row r="28" spans="1:19">
      <c r="A28" s="24"/>
      <c r="B28" s="23"/>
      <c r="C28" s="23"/>
      <c r="D28" s="23"/>
      <c r="E28" s="23"/>
      <c r="F28" s="23"/>
      <c r="G28" s="23"/>
      <c r="H28" s="23"/>
      <c r="I28" s="25"/>
      <c r="J28" s="25"/>
      <c r="K28" s="25"/>
    </row>
    <row r="29" spans="1:19">
      <c r="A29" s="24"/>
      <c r="B29" s="23"/>
      <c r="C29" s="23"/>
      <c r="D29" s="23"/>
      <c r="E29" s="23"/>
      <c r="F29" s="23"/>
      <c r="G29" s="23"/>
      <c r="H29" s="23"/>
      <c r="I29" s="25"/>
      <c r="J29" s="25"/>
      <c r="K29" s="25"/>
    </row>
    <row r="30" spans="1:19">
      <c r="A30" s="24"/>
      <c r="B30" s="23"/>
      <c r="C30" s="23"/>
      <c r="D30" s="23"/>
      <c r="E30" s="23"/>
      <c r="F30" s="23"/>
      <c r="G30" s="23"/>
      <c r="H30" s="23"/>
      <c r="I30" s="25"/>
      <c r="J30" s="25"/>
      <c r="K30" s="25"/>
    </row>
    <row r="31" spans="1:19">
      <c r="A31" s="24"/>
      <c r="B31" s="23"/>
      <c r="C31" s="23"/>
      <c r="D31" s="23"/>
      <c r="E31" s="23"/>
      <c r="F31" s="23"/>
      <c r="G31" s="23"/>
      <c r="H31" s="23"/>
      <c r="I31" s="25"/>
      <c r="J31" s="25"/>
      <c r="K31" s="25"/>
    </row>
    <row r="32" spans="1:19">
      <c r="A32" s="24"/>
      <c r="B32" s="23"/>
      <c r="C32" s="23"/>
      <c r="D32" s="23"/>
      <c r="E32" s="23"/>
      <c r="F32" s="23"/>
      <c r="G32" s="23"/>
      <c r="H32" s="23"/>
      <c r="I32" s="25"/>
      <c r="J32" s="25"/>
      <c r="K32" s="25"/>
    </row>
    <row r="33" spans="1:11">
      <c r="A33" s="24"/>
      <c r="B33" s="23"/>
      <c r="C33" s="23"/>
      <c r="D33" s="23"/>
      <c r="E33" s="23"/>
      <c r="F33" s="23"/>
      <c r="G33" s="23"/>
      <c r="H33" s="23"/>
      <c r="I33" s="25"/>
      <c r="J33" s="25"/>
      <c r="K33" s="25"/>
    </row>
    <row r="34" spans="1:1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A5:A6"/>
    <mergeCell ref="B5:B6"/>
    <mergeCell ref="C5:C6"/>
    <mergeCell ref="D5:D6"/>
    <mergeCell ref="E5:E6"/>
    <mergeCell ref="I5:I6"/>
    <mergeCell ref="J5:J6"/>
    <mergeCell ref="K5:K6"/>
    <mergeCell ref="C4:D4"/>
    <mergeCell ref="E4:F4"/>
    <mergeCell ref="G4:H4"/>
    <mergeCell ref="F5:G5"/>
    <mergeCell ref="H5:H6"/>
    <mergeCell ref="S5:S6"/>
    <mergeCell ref="R7:R8"/>
    <mergeCell ref="S7:S8"/>
    <mergeCell ref="N9:S9"/>
    <mergeCell ref="N10:P10"/>
    <mergeCell ref="Q10:S10"/>
    <mergeCell ref="N5:N6"/>
    <mergeCell ref="O5:O6"/>
    <mergeCell ref="P5:P6"/>
    <mergeCell ref="Q5:Q6"/>
    <mergeCell ref="R5:R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0"/>
  <sheetViews>
    <sheetView workbookViewId="0">
      <selection activeCell="A7" sqref="A7"/>
    </sheetView>
  </sheetViews>
  <sheetFormatPr defaultRowHeight="15"/>
  <cols>
    <col min="1" max="1" width="10.140625" bestFit="1" customWidth="1"/>
  </cols>
  <sheetData>
    <row r="1" spans="1:11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1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32</v>
      </c>
    </row>
    <row r="3" spans="1:11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1">
      <c r="A4" s="2" t="s">
        <v>11</v>
      </c>
      <c r="B4" s="2" t="s">
        <v>116</v>
      </c>
      <c r="C4" s="500">
        <f>AVERAGEA(I7:I20)</f>
        <v>0.69200002256446824</v>
      </c>
      <c r="D4" s="501"/>
      <c r="E4" s="500">
        <f>AVERAGEA(J7:J20)</f>
        <v>10.673025036170964</v>
      </c>
      <c r="F4" s="501"/>
      <c r="G4" s="500">
        <f>AVERAGEA(K7:K20)</f>
        <v>1.9775200099641341</v>
      </c>
      <c r="H4" s="501"/>
      <c r="I4" s="3">
        <f>C4*K2</f>
        <v>22.144000722062984</v>
      </c>
      <c r="J4" s="3">
        <f>I4*E4</f>
        <v>236.34347410756612</v>
      </c>
      <c r="K4" s="3">
        <f>K2*G4</f>
        <v>63.280640318852292</v>
      </c>
    </row>
    <row r="5" spans="1:11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</row>
    <row r="6" spans="1:11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</row>
    <row r="7" spans="1:11">
      <c r="A7" s="33">
        <v>45507</v>
      </c>
      <c r="B7" s="29" t="s">
        <v>115</v>
      </c>
      <c r="C7" s="29" t="s">
        <v>65</v>
      </c>
      <c r="D7" s="29">
        <v>95</v>
      </c>
      <c r="E7" s="29">
        <v>9</v>
      </c>
      <c r="F7" s="29">
        <v>69</v>
      </c>
      <c r="G7" s="29">
        <v>845</v>
      </c>
      <c r="H7" s="29">
        <v>104</v>
      </c>
      <c r="I7" s="25">
        <f t="shared" ref="I7:I15" si="0">F7/(D7+E7)</f>
        <v>0.66346153846153844</v>
      </c>
      <c r="J7" s="25">
        <f t="shared" ref="J7:J15" si="1">G7/F7</f>
        <v>12.246376811594203</v>
      </c>
      <c r="K7" s="25">
        <f t="shared" ref="K7:K15" si="2">H7/(D7+E7)</f>
        <v>1</v>
      </c>
    </row>
    <row r="8" spans="1:11">
      <c r="A8" s="24">
        <v>45511</v>
      </c>
      <c r="B8" s="23" t="s">
        <v>115</v>
      </c>
      <c r="C8" s="23" t="s">
        <v>65</v>
      </c>
      <c r="D8" s="23">
        <v>66</v>
      </c>
      <c r="E8" s="23">
        <v>7</v>
      </c>
      <c r="F8" s="23">
        <v>57</v>
      </c>
      <c r="G8" s="23">
        <v>638</v>
      </c>
      <c r="H8" s="23">
        <v>85</v>
      </c>
      <c r="I8" s="25">
        <f t="shared" si="0"/>
        <v>0.78082191780821919</v>
      </c>
      <c r="J8" s="25">
        <f t="shared" si="1"/>
        <v>11.192982456140351</v>
      </c>
      <c r="K8" s="25">
        <f t="shared" si="2"/>
        <v>1.1643835616438356</v>
      </c>
    </row>
    <row r="9" spans="1:11">
      <c r="A9" s="24">
        <v>45514</v>
      </c>
      <c r="B9" s="23" t="s">
        <v>115</v>
      </c>
      <c r="C9" s="23" t="s">
        <v>65</v>
      </c>
      <c r="D9" s="23">
        <v>91</v>
      </c>
      <c r="E9" s="23">
        <v>4</v>
      </c>
      <c r="F9" s="23">
        <v>72</v>
      </c>
      <c r="G9" s="23">
        <v>930</v>
      </c>
      <c r="H9" s="23">
        <v>75</v>
      </c>
      <c r="I9" s="25">
        <f t="shared" si="0"/>
        <v>0.75789473684210529</v>
      </c>
      <c r="J9" s="25">
        <f t="shared" si="1"/>
        <v>12.916666666666666</v>
      </c>
      <c r="K9" s="25">
        <f t="shared" si="2"/>
        <v>0.78947368421052633</v>
      </c>
    </row>
    <row r="10" spans="1:11">
      <c r="A10" s="24">
        <v>45518</v>
      </c>
      <c r="B10" s="23" t="s">
        <v>115</v>
      </c>
      <c r="C10" s="23" t="s">
        <v>65</v>
      </c>
      <c r="D10" s="23">
        <v>59</v>
      </c>
      <c r="E10" s="23">
        <v>7</v>
      </c>
      <c r="F10" s="23">
        <v>34</v>
      </c>
      <c r="G10" s="23">
        <v>49</v>
      </c>
      <c r="H10" s="23">
        <v>644</v>
      </c>
      <c r="I10" s="25">
        <f t="shared" si="0"/>
        <v>0.51515151515151514</v>
      </c>
      <c r="J10" s="25">
        <f t="shared" si="1"/>
        <v>1.4411764705882353</v>
      </c>
      <c r="K10" s="25">
        <f t="shared" si="2"/>
        <v>9.7575757575757578</v>
      </c>
    </row>
    <row r="11" spans="1:11">
      <c r="A11" s="24">
        <v>45521</v>
      </c>
      <c r="B11" s="23" t="s">
        <v>115</v>
      </c>
      <c r="C11" s="23" t="s">
        <v>65</v>
      </c>
      <c r="D11" s="23">
        <v>70</v>
      </c>
      <c r="E11" s="23">
        <v>8</v>
      </c>
      <c r="F11" s="23">
        <v>54</v>
      </c>
      <c r="G11" s="23">
        <v>655</v>
      </c>
      <c r="H11" s="23">
        <v>108</v>
      </c>
      <c r="I11" s="25">
        <f t="shared" si="0"/>
        <v>0.69230769230769229</v>
      </c>
      <c r="J11" s="25">
        <f t="shared" si="1"/>
        <v>12.12962962962963</v>
      </c>
      <c r="K11" s="25">
        <f t="shared" si="2"/>
        <v>1.3846153846153846</v>
      </c>
    </row>
    <row r="12" spans="1:11">
      <c r="A12" s="24">
        <v>45525</v>
      </c>
      <c r="B12" s="23" t="s">
        <v>115</v>
      </c>
      <c r="C12" s="23" t="s">
        <v>65</v>
      </c>
      <c r="D12" s="23">
        <v>63</v>
      </c>
      <c r="E12" s="23">
        <v>2</v>
      </c>
      <c r="F12" s="23">
        <v>56</v>
      </c>
      <c r="G12" s="23">
        <v>606</v>
      </c>
      <c r="H12" s="23">
        <v>20</v>
      </c>
      <c r="I12" s="25">
        <f t="shared" si="0"/>
        <v>0.86153846153846159</v>
      </c>
      <c r="J12" s="25">
        <f t="shared" si="1"/>
        <v>10.821428571428571</v>
      </c>
      <c r="K12" s="25">
        <f t="shared" si="2"/>
        <v>0.30769230769230771</v>
      </c>
    </row>
    <row r="13" spans="1:11">
      <c r="A13" s="24">
        <v>45528</v>
      </c>
      <c r="B13" s="23" t="s">
        <v>115</v>
      </c>
      <c r="C13" s="23" t="s">
        <v>65</v>
      </c>
      <c r="D13" s="23">
        <v>75</v>
      </c>
      <c r="E13" s="23">
        <v>7</v>
      </c>
      <c r="F13" s="23">
        <v>65</v>
      </c>
      <c r="G13" s="23">
        <v>782</v>
      </c>
      <c r="H13" s="23"/>
      <c r="I13" s="25">
        <f t="shared" si="0"/>
        <v>0.79268292682926833</v>
      </c>
      <c r="J13" s="25">
        <f t="shared" si="1"/>
        <v>12.030769230769231</v>
      </c>
      <c r="K13" s="25">
        <f t="shared" si="2"/>
        <v>0</v>
      </c>
    </row>
    <row r="14" spans="1:11">
      <c r="A14" s="24">
        <v>45532</v>
      </c>
      <c r="B14" s="23" t="s">
        <v>115</v>
      </c>
      <c r="C14" s="23" t="s">
        <v>65</v>
      </c>
      <c r="D14" s="23">
        <v>32</v>
      </c>
      <c r="E14" s="23">
        <v>1</v>
      </c>
      <c r="F14" s="23">
        <v>21</v>
      </c>
      <c r="G14" s="23">
        <v>249</v>
      </c>
      <c r="H14" s="23">
        <v>35</v>
      </c>
      <c r="I14" s="25">
        <f t="shared" si="0"/>
        <v>0.63636363636363635</v>
      </c>
      <c r="J14" s="25">
        <f t="shared" si="1"/>
        <v>11.857142857142858</v>
      </c>
      <c r="K14" s="25">
        <f t="shared" si="2"/>
        <v>1.0606060606060606</v>
      </c>
    </row>
    <row r="15" spans="1:11">
      <c r="A15" s="24">
        <v>45535</v>
      </c>
      <c r="B15" s="23" t="s">
        <v>115</v>
      </c>
      <c r="C15" s="23" t="s">
        <v>65</v>
      </c>
      <c r="D15" s="23">
        <v>34</v>
      </c>
      <c r="E15" s="23">
        <v>2</v>
      </c>
      <c r="F15" s="23">
        <v>19</v>
      </c>
      <c r="G15" s="23">
        <v>217</v>
      </c>
      <c r="H15" s="23">
        <v>84</v>
      </c>
      <c r="I15" s="25">
        <f t="shared" si="0"/>
        <v>0.52777777777777779</v>
      </c>
      <c r="J15" s="25">
        <f t="shared" si="1"/>
        <v>11.421052631578947</v>
      </c>
      <c r="K15" s="25">
        <f t="shared" si="2"/>
        <v>2.3333333333333335</v>
      </c>
    </row>
    <row r="16" spans="1:11">
      <c r="A16" s="24"/>
      <c r="B16" s="23"/>
      <c r="C16" s="23"/>
      <c r="D16" s="23"/>
      <c r="E16" s="23"/>
      <c r="F16" s="23"/>
      <c r="G16" s="23"/>
      <c r="H16" s="23"/>
      <c r="I16" s="25"/>
      <c r="J16" s="25"/>
      <c r="K16" s="25"/>
    </row>
    <row r="17" spans="1:11">
      <c r="A17" s="24"/>
      <c r="B17" s="23"/>
      <c r="C17" s="23"/>
      <c r="D17" s="23"/>
      <c r="E17" s="23"/>
      <c r="F17" s="23"/>
      <c r="G17" s="23"/>
      <c r="H17" s="23"/>
      <c r="I17" s="25"/>
      <c r="J17" s="25"/>
      <c r="K17" s="25"/>
    </row>
    <row r="18" spans="1:11">
      <c r="A18" s="24"/>
      <c r="B18" s="23"/>
      <c r="C18" s="23"/>
      <c r="D18" s="23"/>
      <c r="E18" s="23"/>
      <c r="F18" s="23"/>
      <c r="G18" s="23"/>
      <c r="H18" s="23"/>
      <c r="I18" s="25"/>
      <c r="J18" s="25"/>
      <c r="K18" s="25"/>
    </row>
    <row r="19" spans="1:11">
      <c r="A19" s="24"/>
      <c r="B19" s="23"/>
      <c r="C19" s="23"/>
      <c r="D19" s="23"/>
      <c r="E19" s="23"/>
      <c r="F19" s="23"/>
      <c r="G19" s="23"/>
      <c r="H19" s="23"/>
      <c r="I19" s="25"/>
      <c r="J19" s="25"/>
      <c r="K19" s="25"/>
    </row>
    <row r="20" spans="1:11">
      <c r="A20" s="24"/>
      <c r="B20" s="23"/>
      <c r="C20" s="23"/>
      <c r="D20" s="23"/>
      <c r="E20" s="23"/>
      <c r="F20" s="23"/>
      <c r="G20" s="23"/>
      <c r="H20" s="23"/>
      <c r="I20" s="25"/>
      <c r="J20" s="25"/>
      <c r="K20" s="25"/>
    </row>
  </sheetData>
  <sheetProtection password="CC6F" sheet="1" objects="1" scenarios="1"/>
  <mergeCells count="23">
    <mergeCell ref="J5:J6"/>
    <mergeCell ref="K5:K6"/>
    <mergeCell ref="C4:D4"/>
    <mergeCell ref="E4:F4"/>
    <mergeCell ref="G4:H4"/>
    <mergeCell ref="F5:G5"/>
    <mergeCell ref="H5:H6"/>
    <mergeCell ref="I5:I6"/>
    <mergeCell ref="A5:A6"/>
    <mergeCell ref="B5:B6"/>
    <mergeCell ref="C5:C6"/>
    <mergeCell ref="D5:D6"/>
    <mergeCell ref="E5:E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Лист1"/>
  <dimension ref="A1:S974"/>
  <sheetViews>
    <sheetView workbookViewId="0">
      <selection activeCell="C40" sqref="C40"/>
    </sheetView>
  </sheetViews>
  <sheetFormatPr defaultColWidth="14.42578125" defaultRowHeight="15" customHeight="1"/>
  <cols>
    <col min="1" max="1" width="10.140625" customWidth="1"/>
    <col min="2" max="8" width="8.7109375" customWidth="1"/>
    <col min="9" max="9" width="14" customWidth="1"/>
    <col min="10" max="10" width="15.5703125" customWidth="1"/>
    <col min="11" max="11" width="12.85546875" customWidth="1"/>
    <col min="12" max="13" width="8.7109375" customWidth="1"/>
    <col min="14" max="14" width="12" customWidth="1"/>
    <col min="15" max="15" width="11.5703125" customWidth="1"/>
    <col min="16" max="16" width="13.5703125" customWidth="1"/>
    <col min="17" max="17" width="12" customWidth="1"/>
    <col min="18" max="18" width="10.42578125" customWidth="1"/>
    <col min="19" max="19" width="12.7109375" customWidth="1"/>
    <col min="20" max="26" width="8.7109375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192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11</v>
      </c>
      <c r="B4" s="2" t="s">
        <v>12</v>
      </c>
      <c r="C4" s="500">
        <f>AVERAGEA(I7:I40)</f>
        <v>0.19000849935400826</v>
      </c>
      <c r="D4" s="501"/>
      <c r="E4" s="500">
        <f>AVERAGEA(J7:J40)</f>
        <v>12.273041877895915</v>
      </c>
      <c r="F4" s="501"/>
      <c r="G4" s="500">
        <f>AVERAGEA(K7:K40)</f>
        <v>3.857883444776772</v>
      </c>
      <c r="H4" s="501"/>
      <c r="I4" s="3">
        <f>C4*K2</f>
        <v>36.481631875969583</v>
      </c>
      <c r="J4" s="3">
        <f>I4*E4</f>
        <v>447.74059578775723</v>
      </c>
      <c r="K4" s="3">
        <f>K2*G4</f>
        <v>740.71362139714029</v>
      </c>
    </row>
    <row r="5" spans="1:19" ht="15" customHeight="1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  <c r="N6" s="492"/>
      <c r="O6" s="492"/>
      <c r="P6" s="492"/>
      <c r="Q6" s="492"/>
      <c r="R6" s="492"/>
      <c r="S6" s="492"/>
    </row>
    <row r="7" spans="1:19" ht="15.75">
      <c r="A7" s="33">
        <v>46114</v>
      </c>
      <c r="B7" s="29">
        <v>80</v>
      </c>
      <c r="C7" s="29" t="s">
        <v>62</v>
      </c>
      <c r="D7" s="29">
        <v>137</v>
      </c>
      <c r="E7" s="29">
        <v>6</v>
      </c>
      <c r="F7" s="29">
        <v>23</v>
      </c>
      <c r="G7" s="29">
        <v>244</v>
      </c>
      <c r="H7" s="29">
        <v>662</v>
      </c>
      <c r="I7" s="25">
        <f t="shared" ref="I7:I14" si="0">F7/(D7+E7)</f>
        <v>0.16083916083916083</v>
      </c>
      <c r="J7" s="25">
        <f t="shared" ref="J7:J14" si="1">G7/F7</f>
        <v>10.608695652173912</v>
      </c>
      <c r="K7" s="25">
        <f t="shared" ref="K7:K14" si="2">H7/(D7+E7)</f>
        <v>4.6293706293706292</v>
      </c>
      <c r="N7" s="13" t="s">
        <v>49</v>
      </c>
      <c r="O7" s="14">
        <f>K2</f>
        <v>192</v>
      </c>
      <c r="P7" s="15">
        <f>I4</f>
        <v>36.481631875969583</v>
      </c>
      <c r="Q7" s="15">
        <f>J4</f>
        <v>447.74059578775723</v>
      </c>
      <c r="R7" s="493">
        <f>Q7/P7</f>
        <v>12.273041877895915</v>
      </c>
      <c r="S7" s="493">
        <f>P7/O7</f>
        <v>0.19000849935400824</v>
      </c>
    </row>
    <row r="8" spans="1:19" ht="15.75">
      <c r="A8" s="24">
        <v>46116</v>
      </c>
      <c r="B8" s="23">
        <v>80</v>
      </c>
      <c r="C8" s="23" t="s">
        <v>62</v>
      </c>
      <c r="D8" s="23">
        <v>153</v>
      </c>
      <c r="E8" s="23">
        <v>8</v>
      </c>
      <c r="F8" s="23">
        <v>25</v>
      </c>
      <c r="G8" s="23">
        <v>325</v>
      </c>
      <c r="H8" s="23">
        <v>557</v>
      </c>
      <c r="I8" s="25">
        <f t="shared" si="0"/>
        <v>0.15527950310559005</v>
      </c>
      <c r="J8" s="25">
        <f t="shared" si="1"/>
        <v>13</v>
      </c>
      <c r="K8" s="25">
        <f t="shared" si="2"/>
        <v>3.4596273291925468</v>
      </c>
      <c r="N8" s="13" t="s">
        <v>50</v>
      </c>
      <c r="O8" s="14">
        <f>O7</f>
        <v>192</v>
      </c>
      <c r="P8" s="16">
        <f>O8*S7</f>
        <v>36.481631875969583</v>
      </c>
      <c r="Q8" s="16">
        <f>P8*R7</f>
        <v>447.74059578775723</v>
      </c>
      <c r="R8" s="492"/>
      <c r="S8" s="492"/>
    </row>
    <row r="9" spans="1:19">
      <c r="A9" s="24">
        <v>46121</v>
      </c>
      <c r="B9" s="23">
        <v>80</v>
      </c>
      <c r="C9" s="23" t="s">
        <v>62</v>
      </c>
      <c r="D9" s="23">
        <v>161</v>
      </c>
      <c r="E9" s="23">
        <v>7</v>
      </c>
      <c r="F9" s="23">
        <v>38</v>
      </c>
      <c r="G9" s="23">
        <v>489</v>
      </c>
      <c r="H9" s="23">
        <v>624</v>
      </c>
      <c r="I9" s="25">
        <f t="shared" si="0"/>
        <v>0.22619047619047619</v>
      </c>
      <c r="J9" s="25">
        <f t="shared" si="1"/>
        <v>12.868421052631579</v>
      </c>
      <c r="K9" s="25">
        <f t="shared" si="2"/>
        <v>3.7142857142857144</v>
      </c>
      <c r="N9" s="494" t="s">
        <v>51</v>
      </c>
      <c r="O9" s="495"/>
      <c r="P9" s="495"/>
      <c r="Q9" s="495"/>
      <c r="R9" s="495"/>
      <c r="S9" s="496"/>
    </row>
    <row r="10" spans="1:19">
      <c r="A10" s="24">
        <v>46123</v>
      </c>
      <c r="B10" s="23">
        <v>80</v>
      </c>
      <c r="C10" s="23" t="s">
        <v>62</v>
      </c>
      <c r="D10" s="23">
        <v>166</v>
      </c>
      <c r="E10" s="23">
        <v>10</v>
      </c>
      <c r="F10" s="23">
        <v>34</v>
      </c>
      <c r="G10" s="23">
        <v>388</v>
      </c>
      <c r="H10" s="23">
        <v>584</v>
      </c>
      <c r="I10" s="25">
        <f t="shared" si="0"/>
        <v>0.19318181818181818</v>
      </c>
      <c r="J10" s="25">
        <f t="shared" si="1"/>
        <v>11.411764705882353</v>
      </c>
      <c r="K10" s="25">
        <f t="shared" si="2"/>
        <v>3.3181818181818183</v>
      </c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24">
        <v>46128</v>
      </c>
      <c r="B11" s="23">
        <v>80</v>
      </c>
      <c r="C11" s="23" t="s">
        <v>61</v>
      </c>
      <c r="D11" s="23">
        <v>216</v>
      </c>
      <c r="E11" s="23">
        <v>4</v>
      </c>
      <c r="F11" s="23">
        <v>45</v>
      </c>
      <c r="G11" s="23">
        <v>570</v>
      </c>
      <c r="H11" s="23">
        <v>880</v>
      </c>
      <c r="I11" s="25">
        <f t="shared" si="0"/>
        <v>0.20454545454545456</v>
      </c>
      <c r="J11" s="25">
        <f t="shared" si="1"/>
        <v>12.666666666666666</v>
      </c>
      <c r="K11" s="25">
        <f t="shared" si="2"/>
        <v>4</v>
      </c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24">
        <v>46130</v>
      </c>
      <c r="B12" s="23">
        <v>80</v>
      </c>
      <c r="C12" s="23" t="s">
        <v>62</v>
      </c>
      <c r="D12" s="23">
        <v>163</v>
      </c>
      <c r="E12" s="23">
        <v>9</v>
      </c>
      <c r="F12" s="23">
        <v>35</v>
      </c>
      <c r="G12" s="23">
        <v>421</v>
      </c>
      <c r="H12" s="23">
        <v>376</v>
      </c>
      <c r="I12" s="25">
        <f t="shared" si="0"/>
        <v>0.20348837209302326</v>
      </c>
      <c r="J12" s="25">
        <f t="shared" si="1"/>
        <v>12.028571428571428</v>
      </c>
      <c r="K12" s="25">
        <f t="shared" si="2"/>
        <v>2.1860465116279069</v>
      </c>
      <c r="N12" s="17">
        <v>1</v>
      </c>
      <c r="O12" s="18">
        <v>0</v>
      </c>
      <c r="P12" s="19">
        <f>O12*R7</f>
        <v>0</v>
      </c>
      <c r="Q12" s="17">
        <v>3</v>
      </c>
      <c r="R12" s="18">
        <v>30</v>
      </c>
      <c r="S12" s="19">
        <f>R12*R7</f>
        <v>368.19125633687747</v>
      </c>
    </row>
    <row r="13" spans="1:19" ht="15.75">
      <c r="A13" s="24">
        <v>46135</v>
      </c>
      <c r="B13" s="23">
        <v>80</v>
      </c>
      <c r="C13" s="23" t="s">
        <v>62</v>
      </c>
      <c r="D13" s="23">
        <v>152</v>
      </c>
      <c r="E13" s="23">
        <v>10</v>
      </c>
      <c r="F13" s="23">
        <v>32</v>
      </c>
      <c r="G13" s="23">
        <v>401</v>
      </c>
      <c r="H13" s="23">
        <v>630</v>
      </c>
      <c r="I13" s="25">
        <f t="shared" si="0"/>
        <v>0.19753086419753085</v>
      </c>
      <c r="J13" s="25">
        <f t="shared" si="1"/>
        <v>12.53125</v>
      </c>
      <c r="K13" s="25">
        <f t="shared" si="2"/>
        <v>3.8888888888888888</v>
      </c>
      <c r="N13" s="17">
        <v>2</v>
      </c>
      <c r="O13" s="18">
        <v>0</v>
      </c>
      <c r="P13" s="19">
        <f>O13*R7</f>
        <v>0</v>
      </c>
      <c r="Q13" s="17">
        <v>4</v>
      </c>
      <c r="R13" s="18">
        <v>13</v>
      </c>
      <c r="S13" s="19">
        <f>R7*R13</f>
        <v>159.5495444126469</v>
      </c>
    </row>
    <row r="14" spans="1:19" ht="15.75" customHeight="1">
      <c r="A14" s="24">
        <v>46137</v>
      </c>
      <c r="B14" s="23">
        <v>80</v>
      </c>
      <c r="C14" s="23" t="s">
        <v>62</v>
      </c>
      <c r="D14" s="23">
        <v>156</v>
      </c>
      <c r="E14" s="23">
        <v>6</v>
      </c>
      <c r="F14" s="23">
        <v>29</v>
      </c>
      <c r="G14" s="23">
        <v>379</v>
      </c>
      <c r="H14" s="23">
        <v>918</v>
      </c>
      <c r="I14" s="25">
        <f t="shared" si="0"/>
        <v>0.17901234567901234</v>
      </c>
      <c r="J14" s="25">
        <f t="shared" si="1"/>
        <v>13.068965517241379</v>
      </c>
      <c r="K14" s="25">
        <f t="shared" si="2"/>
        <v>5.666666666666667</v>
      </c>
      <c r="N14" s="17">
        <v>3</v>
      </c>
      <c r="O14" s="18">
        <v>1</v>
      </c>
      <c r="P14" s="19">
        <f>R7*O14</f>
        <v>12.273041877895915</v>
      </c>
      <c r="Q14" s="17">
        <v>5</v>
      </c>
      <c r="R14" s="18"/>
      <c r="S14" s="19">
        <f>R14*R7</f>
        <v>0</v>
      </c>
    </row>
    <row r="15" spans="1:19" ht="15.75" customHeight="1">
      <c r="A15" s="24"/>
      <c r="B15" s="23"/>
      <c r="C15" s="23"/>
      <c r="D15" s="23"/>
      <c r="E15" s="23"/>
      <c r="F15" s="23"/>
      <c r="G15" s="23"/>
      <c r="H15" s="23"/>
      <c r="I15" s="25"/>
      <c r="J15" s="25"/>
      <c r="K15" s="25"/>
      <c r="N15" s="17">
        <v>4</v>
      </c>
      <c r="O15" s="18">
        <v>0</v>
      </c>
      <c r="P15" s="19">
        <f>R7*O15</f>
        <v>0</v>
      </c>
      <c r="Q15" s="17">
        <v>1</v>
      </c>
      <c r="R15" s="18">
        <v>0</v>
      </c>
      <c r="S15" s="19">
        <f>R7*R15</f>
        <v>0</v>
      </c>
    </row>
    <row r="16" spans="1:19" ht="15.75" customHeight="1">
      <c r="A16" s="24"/>
      <c r="B16" s="23"/>
      <c r="C16" s="24"/>
      <c r="D16" s="23"/>
      <c r="E16" s="23"/>
      <c r="F16" s="23"/>
      <c r="G16" s="23"/>
      <c r="H16" s="23"/>
      <c r="I16" s="25"/>
      <c r="J16" s="25"/>
      <c r="K16" s="25"/>
      <c r="N16" s="17">
        <v>5</v>
      </c>
      <c r="O16" s="18">
        <v>0</v>
      </c>
      <c r="P16" s="19">
        <f>R7*O16</f>
        <v>0</v>
      </c>
      <c r="Q16" s="17"/>
      <c r="R16" s="18">
        <v>0</v>
      </c>
      <c r="S16" s="19">
        <f>R7*R16</f>
        <v>0</v>
      </c>
    </row>
    <row r="17" spans="1:19" ht="15.75" customHeight="1">
      <c r="A17" s="24"/>
      <c r="B17" s="23"/>
      <c r="C17" s="23"/>
      <c r="D17" s="23"/>
      <c r="E17" s="23"/>
      <c r="F17" s="23"/>
      <c r="G17" s="23"/>
      <c r="H17" s="23"/>
      <c r="I17" s="25"/>
      <c r="J17" s="25"/>
      <c r="K17" s="25"/>
      <c r="N17" s="17">
        <v>6</v>
      </c>
      <c r="O17" s="18">
        <v>0</v>
      </c>
      <c r="P17" s="19">
        <f>R7*O17</f>
        <v>0</v>
      </c>
      <c r="Q17" s="17"/>
      <c r="R17" s="18">
        <v>0</v>
      </c>
      <c r="S17" s="19">
        <f>R7*R17</f>
        <v>0</v>
      </c>
    </row>
    <row r="18" spans="1:19" ht="15.75" customHeight="1">
      <c r="A18" s="24"/>
      <c r="B18" s="23"/>
      <c r="C18" s="23"/>
      <c r="D18" s="23"/>
      <c r="E18" s="23"/>
      <c r="F18" s="23"/>
      <c r="G18" s="23"/>
      <c r="H18" s="23"/>
      <c r="I18" s="25"/>
      <c r="J18" s="25"/>
      <c r="K18" s="25"/>
      <c r="N18" s="17">
        <v>7</v>
      </c>
      <c r="O18" s="18">
        <v>0</v>
      </c>
      <c r="P18" s="19">
        <f>R7*O18</f>
        <v>0</v>
      </c>
      <c r="Q18" s="17"/>
      <c r="R18" s="18">
        <v>0</v>
      </c>
      <c r="S18" s="19">
        <f>R7*R18</f>
        <v>0</v>
      </c>
    </row>
    <row r="19" spans="1:19" ht="15.75" customHeight="1">
      <c r="A19" s="24"/>
      <c r="B19" s="23"/>
      <c r="C19" s="23"/>
      <c r="D19" s="23"/>
      <c r="E19" s="23"/>
      <c r="F19" s="23"/>
      <c r="G19" s="23"/>
      <c r="H19" s="23"/>
      <c r="I19" s="25"/>
      <c r="J19" s="25"/>
      <c r="K19" s="25"/>
      <c r="N19" s="17">
        <v>8</v>
      </c>
      <c r="O19" s="18">
        <v>30</v>
      </c>
      <c r="P19" s="19">
        <f>R7*O19</f>
        <v>368.19125633687747</v>
      </c>
      <c r="Q19" s="17"/>
      <c r="R19" s="18">
        <v>0</v>
      </c>
      <c r="S19" s="19">
        <f>R7*R19</f>
        <v>0</v>
      </c>
    </row>
    <row r="20" spans="1:19" ht="15.75" customHeight="1">
      <c r="A20" s="24"/>
      <c r="B20" s="23"/>
      <c r="C20" s="23"/>
      <c r="D20" s="23"/>
      <c r="E20" s="23"/>
      <c r="F20" s="23"/>
      <c r="G20" s="23"/>
      <c r="H20" s="23"/>
      <c r="I20" s="25"/>
      <c r="J20" s="25"/>
      <c r="K20" s="25"/>
      <c r="N20" s="17">
        <v>9</v>
      </c>
      <c r="O20" s="18">
        <v>50</v>
      </c>
      <c r="P20" s="19">
        <f>R7*O20</f>
        <v>613.65209389479571</v>
      </c>
      <c r="Q20" s="17"/>
      <c r="R20" s="18">
        <v>0</v>
      </c>
      <c r="S20" s="19">
        <f>R7*R20</f>
        <v>0</v>
      </c>
    </row>
    <row r="21" spans="1:19" ht="15.75" customHeight="1">
      <c r="A21" s="24"/>
      <c r="B21" s="23"/>
      <c r="C21" s="23"/>
      <c r="D21" s="23"/>
      <c r="E21" s="23"/>
      <c r="F21" s="23"/>
      <c r="G21" s="23"/>
      <c r="H21" s="23"/>
      <c r="I21" s="25"/>
      <c r="J21" s="25"/>
      <c r="K21" s="25"/>
      <c r="N21" s="20" t="s">
        <v>53</v>
      </c>
      <c r="O21" s="18">
        <v>50</v>
      </c>
      <c r="P21" s="19">
        <f>R7*O21</f>
        <v>613.65209389479571</v>
      </c>
      <c r="Q21" s="17"/>
      <c r="R21" s="18"/>
      <c r="S21" s="19">
        <f>R7*R21</f>
        <v>0</v>
      </c>
    </row>
    <row r="22" spans="1:19" ht="15.75" customHeight="1">
      <c r="A22" s="24"/>
      <c r="B22" s="23"/>
      <c r="C22" s="23"/>
      <c r="D22" s="23"/>
      <c r="E22" s="23"/>
      <c r="F22" s="23"/>
      <c r="G22" s="23"/>
      <c r="H22" s="23"/>
      <c r="I22" s="25"/>
      <c r="J22" s="25"/>
      <c r="K22" s="25"/>
      <c r="N22" s="13" t="s">
        <v>59</v>
      </c>
      <c r="O22" s="21">
        <f>P8-O12-O13-O14-O15-O16-O17-O18-O19-O20-O21</f>
        <v>-94.518368124030417</v>
      </c>
      <c r="P22" s="21">
        <f>Q8-P12-P13-P14-P15-P16-P17-P18-P19-P20-P21</f>
        <v>-1160.0278902166076</v>
      </c>
      <c r="Q22" s="13" t="s">
        <v>59</v>
      </c>
      <c r="R22" s="21">
        <f>P8-R12-R13-R14-R15-R16-R17-R18-R19-R20-R21</f>
        <v>-6.5183681240304168</v>
      </c>
      <c r="S22" s="21">
        <f>Q8-S12-S13-S14-S15-S16-S17-S18-S19-S20-S21</f>
        <v>-80.000204961767139</v>
      </c>
    </row>
    <row r="23" spans="1:19" ht="15.75" customHeight="1">
      <c r="A23" s="24"/>
      <c r="B23" s="23"/>
      <c r="C23" s="23"/>
      <c r="D23" s="23"/>
      <c r="E23" s="23"/>
      <c r="F23" s="23"/>
      <c r="G23" s="23"/>
      <c r="H23" s="23"/>
      <c r="I23" s="25"/>
      <c r="J23" s="25"/>
      <c r="K23" s="25"/>
      <c r="N23" s="13" t="s">
        <v>60</v>
      </c>
      <c r="O23" s="16">
        <f>O12+O13+O14+O15+O16+O17+O18+O19+O20+O21</f>
        <v>131</v>
      </c>
      <c r="P23" s="16">
        <f>P12+P13+P14+P15+P16+P17+P18+P19+P20+P21</f>
        <v>1607.7684860043648</v>
      </c>
      <c r="Q23" s="13" t="s">
        <v>60</v>
      </c>
      <c r="R23" s="16">
        <f>R12+R13+R14+R15+R16+R17+R18+R19+R20+R21</f>
        <v>43</v>
      </c>
      <c r="S23" s="16">
        <f>S12+S13+S14+S15+S16+S17+S18+S19+S20+S21</f>
        <v>527.7408007495244</v>
      </c>
    </row>
    <row r="24" spans="1:19" ht="15.75" customHeight="1">
      <c r="A24" s="24"/>
      <c r="B24" s="23"/>
      <c r="C24" s="23"/>
      <c r="D24" s="23"/>
      <c r="E24" s="23"/>
      <c r="F24" s="23"/>
      <c r="G24" s="23"/>
      <c r="H24" s="23"/>
      <c r="I24" s="25"/>
      <c r="J24" s="25"/>
      <c r="K24" s="25"/>
    </row>
    <row r="25" spans="1:19" ht="15.75" customHeight="1">
      <c r="A25" s="24"/>
      <c r="B25" s="23"/>
      <c r="C25" s="23"/>
      <c r="D25" s="23"/>
      <c r="E25" s="23"/>
      <c r="F25" s="23"/>
      <c r="G25" s="23"/>
      <c r="H25" s="23"/>
      <c r="I25" s="25"/>
      <c r="J25" s="25"/>
      <c r="K25" s="25"/>
    </row>
    <row r="26" spans="1:19" ht="15.75" customHeight="1">
      <c r="A26" s="24"/>
      <c r="B26" s="23"/>
      <c r="C26" s="23"/>
      <c r="D26" s="23"/>
      <c r="E26" s="23"/>
      <c r="F26" s="23"/>
      <c r="G26" s="23"/>
      <c r="H26" s="23"/>
      <c r="I26" s="25"/>
      <c r="J26" s="25"/>
      <c r="K26" s="25"/>
    </row>
    <row r="27" spans="1:19" ht="15.75" customHeight="1">
      <c r="A27" s="24"/>
      <c r="B27" s="23"/>
      <c r="C27" s="23"/>
      <c r="D27" s="23"/>
      <c r="E27" s="23"/>
      <c r="F27" s="23"/>
      <c r="G27" s="23"/>
      <c r="H27" s="23"/>
      <c r="I27" s="25"/>
      <c r="J27" s="25"/>
      <c r="K27" s="25"/>
    </row>
    <row r="28" spans="1:19" ht="15.75" customHeight="1">
      <c r="A28" s="24"/>
      <c r="B28" s="23"/>
      <c r="C28" s="23"/>
      <c r="D28" s="23"/>
      <c r="E28" s="23"/>
      <c r="F28" s="23"/>
      <c r="G28" s="23"/>
      <c r="H28" s="23"/>
      <c r="I28" s="25"/>
      <c r="J28" s="25"/>
      <c r="K28" s="25"/>
    </row>
    <row r="29" spans="1:19" ht="15.75" customHeight="1">
      <c r="A29" s="24"/>
      <c r="B29" s="23"/>
      <c r="C29" s="23"/>
      <c r="D29" s="23"/>
      <c r="E29" s="23"/>
      <c r="F29" s="23"/>
      <c r="G29" s="23"/>
      <c r="H29" s="23"/>
      <c r="I29" s="25"/>
      <c r="J29" s="25"/>
      <c r="K29" s="25"/>
    </row>
    <row r="30" spans="1:19" ht="15.75" customHeight="1">
      <c r="A30" s="24"/>
      <c r="B30" s="23"/>
      <c r="C30" s="193"/>
      <c r="D30" s="23"/>
      <c r="E30" s="23"/>
      <c r="F30" s="23"/>
      <c r="G30" s="23"/>
      <c r="H30" s="23"/>
      <c r="I30" s="25"/>
      <c r="J30" s="25"/>
      <c r="K30" s="25"/>
    </row>
    <row r="31" spans="1:19" ht="15.75" customHeight="1">
      <c r="A31" s="24"/>
      <c r="B31" s="23"/>
      <c r="C31" s="23"/>
      <c r="D31" s="23"/>
      <c r="E31" s="23"/>
      <c r="F31" s="23"/>
      <c r="G31" s="23"/>
      <c r="H31" s="23"/>
      <c r="I31" s="25"/>
      <c r="J31" s="25"/>
      <c r="K31" s="25"/>
    </row>
    <row r="32" spans="1:19" ht="15.75" customHeight="1">
      <c r="A32" s="24"/>
      <c r="B32" s="23"/>
      <c r="C32" s="23"/>
      <c r="D32" s="23"/>
      <c r="E32" s="23"/>
      <c r="F32" s="23"/>
      <c r="G32" s="23"/>
      <c r="H32" s="23"/>
      <c r="I32" s="25"/>
      <c r="J32" s="25"/>
      <c r="K32" s="25"/>
    </row>
    <row r="33" spans="1:11" ht="15.75" customHeight="1">
      <c r="A33" s="24"/>
      <c r="B33" s="23"/>
      <c r="C33" s="23"/>
      <c r="D33" s="23"/>
      <c r="E33" s="23"/>
      <c r="F33" s="23"/>
      <c r="G33" s="23"/>
      <c r="H33" s="23"/>
      <c r="I33" s="25"/>
      <c r="J33" s="25"/>
      <c r="K33" s="25"/>
    </row>
    <row r="34" spans="1:11" ht="15.75" customHeight="1">
      <c r="A34" s="24"/>
      <c r="B34" s="23"/>
      <c r="C34" s="23"/>
      <c r="D34" s="23"/>
      <c r="E34" s="23"/>
      <c r="F34" s="23"/>
      <c r="G34" s="23"/>
      <c r="H34" s="23"/>
      <c r="I34" s="25"/>
      <c r="J34" s="25"/>
      <c r="K34" s="25"/>
    </row>
    <row r="35" spans="1:11" ht="15.75" customHeight="1">
      <c r="A35" s="24"/>
      <c r="B35" s="23"/>
      <c r="C35" s="23"/>
      <c r="D35" s="23"/>
      <c r="E35" s="23"/>
      <c r="F35" s="23"/>
      <c r="G35" s="23"/>
      <c r="H35" s="23"/>
      <c r="I35" s="25"/>
      <c r="J35" s="25"/>
      <c r="K35" s="25"/>
    </row>
    <row r="36" spans="1:11" ht="15.75" customHeight="1">
      <c r="A36" s="24"/>
      <c r="B36" s="23"/>
      <c r="C36" s="23"/>
      <c r="D36" s="23"/>
      <c r="E36" s="23"/>
      <c r="F36" s="23"/>
      <c r="G36" s="23"/>
      <c r="H36" s="23"/>
      <c r="I36" s="25"/>
      <c r="J36" s="25"/>
      <c r="K36" s="25"/>
    </row>
    <row r="37" spans="1:11" ht="15.75" customHeight="1">
      <c r="A37" s="24"/>
      <c r="B37" s="23"/>
      <c r="C37" s="23"/>
      <c r="D37" s="23"/>
      <c r="E37" s="23"/>
      <c r="F37" s="23"/>
      <c r="G37" s="23"/>
      <c r="H37" s="23"/>
      <c r="I37" s="25"/>
      <c r="J37" s="25"/>
      <c r="K37" s="25"/>
    </row>
    <row r="38" spans="1:11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7"/>
      <c r="O55" s="7"/>
      <c r="P55" s="7"/>
      <c r="Q55" s="7"/>
      <c r="R55" s="7"/>
      <c r="S55" s="7"/>
    </row>
    <row r="56" spans="14:19" ht="15.75" customHeight="1">
      <c r="N56" s="22"/>
      <c r="O56" s="22"/>
      <c r="P56" s="22"/>
      <c r="Q56" s="22"/>
      <c r="R56" s="22"/>
      <c r="S56" s="2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O5:O6"/>
    <mergeCell ref="N10:P10"/>
    <mergeCell ref="Q10:S10"/>
    <mergeCell ref="Q5:Q6"/>
    <mergeCell ref="R5:R6"/>
    <mergeCell ref="S5:S6"/>
    <mergeCell ref="R7:R8"/>
    <mergeCell ref="S7:S8"/>
    <mergeCell ref="N9:S9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Лист33"/>
  <dimension ref="A1:S30"/>
  <sheetViews>
    <sheetView workbookViewId="0">
      <selection activeCell="K4" sqref="K4"/>
    </sheetView>
  </sheetViews>
  <sheetFormatPr defaultRowHeight="15"/>
  <cols>
    <col min="1" max="1" width="10.140625" bestFit="1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168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11</v>
      </c>
      <c r="B4" s="2" t="s">
        <v>12</v>
      </c>
      <c r="C4" s="500">
        <f>AVERAGEA(I7:I32)</f>
        <v>0.22075449083422988</v>
      </c>
      <c r="D4" s="501"/>
      <c r="E4" s="500">
        <f>AVERAGEA(J7:J33)</f>
        <v>13.372258611038651</v>
      </c>
      <c r="F4" s="501"/>
      <c r="G4" s="500">
        <f>AVERAGEA(K7:K31)</f>
        <v>1.76558386178663</v>
      </c>
      <c r="H4" s="501"/>
      <c r="I4" s="3">
        <f>C4*K2</f>
        <v>37.086754460150622</v>
      </c>
      <c r="J4" s="3">
        <f>I4*E4</f>
        <v>495.93367168522525</v>
      </c>
      <c r="K4" s="3">
        <f>K2*G4</f>
        <v>296.61808878015381</v>
      </c>
    </row>
    <row r="5" spans="1:19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  <c r="N6" s="492"/>
      <c r="O6" s="492"/>
      <c r="P6" s="492"/>
      <c r="Q6" s="492"/>
      <c r="R6" s="492"/>
      <c r="S6" s="492"/>
    </row>
    <row r="7" spans="1:19" ht="15.75">
      <c r="A7" s="33">
        <v>45354</v>
      </c>
      <c r="B7" s="29">
        <v>82</v>
      </c>
      <c r="C7" s="29" t="s">
        <v>61</v>
      </c>
      <c r="D7" s="29">
        <v>149</v>
      </c>
      <c r="E7" s="29">
        <v>6</v>
      </c>
      <c r="F7" s="29">
        <v>33</v>
      </c>
      <c r="G7" s="29">
        <v>453</v>
      </c>
      <c r="H7" s="29">
        <v>258</v>
      </c>
      <c r="I7" s="25">
        <f>F7/(D7+E7)</f>
        <v>0.2129032258064516</v>
      </c>
      <c r="J7" s="25">
        <f>G7/F7</f>
        <v>13.727272727272727</v>
      </c>
      <c r="K7" s="25">
        <f>H7/(D7+E7)</f>
        <v>1.6645161290322581</v>
      </c>
      <c r="N7" s="13" t="s">
        <v>49</v>
      </c>
      <c r="O7" s="14">
        <f>K2</f>
        <v>168</v>
      </c>
      <c r="P7" s="15">
        <f>I4</f>
        <v>37.086754460150622</v>
      </c>
      <c r="Q7" s="15">
        <f>J4</f>
        <v>495.93367168522525</v>
      </c>
      <c r="R7" s="493">
        <f>Q7/P7</f>
        <v>13.372258611038651</v>
      </c>
      <c r="S7" s="493">
        <f>P7/O7</f>
        <v>0.22075449083422991</v>
      </c>
    </row>
    <row r="8" spans="1:19" ht="15.75">
      <c r="A8" s="24">
        <v>45361</v>
      </c>
      <c r="B8" s="23">
        <v>82</v>
      </c>
      <c r="C8" s="23" t="s">
        <v>62</v>
      </c>
      <c r="D8" s="23">
        <v>183</v>
      </c>
      <c r="E8" s="23">
        <v>6</v>
      </c>
      <c r="F8" s="23">
        <v>41</v>
      </c>
      <c r="G8" s="23">
        <v>532</v>
      </c>
      <c r="H8" s="23">
        <v>562</v>
      </c>
      <c r="I8" s="25">
        <f>F8/(D8+E8)</f>
        <v>0.21693121693121692</v>
      </c>
      <c r="J8" s="25">
        <f>G8/F8</f>
        <v>12.975609756097562</v>
      </c>
      <c r="K8" s="25">
        <f>H8/(D8+E8)</f>
        <v>2.9735449735449735</v>
      </c>
      <c r="N8" s="13" t="s">
        <v>50</v>
      </c>
      <c r="O8" s="14">
        <f>O7</f>
        <v>168</v>
      </c>
      <c r="P8" s="16">
        <f>O8*S7</f>
        <v>37.086754460150622</v>
      </c>
      <c r="Q8" s="16">
        <f>P8*R7</f>
        <v>495.93367168522525</v>
      </c>
      <c r="R8" s="492"/>
      <c r="S8" s="492"/>
    </row>
    <row r="9" spans="1:19">
      <c r="A9" s="24">
        <v>45368</v>
      </c>
      <c r="B9" s="23">
        <v>82</v>
      </c>
      <c r="C9" s="23" t="s">
        <v>61</v>
      </c>
      <c r="D9" s="23">
        <v>181</v>
      </c>
      <c r="E9" s="23">
        <v>11</v>
      </c>
      <c r="F9" s="23">
        <v>32</v>
      </c>
      <c r="G9" s="23">
        <v>401</v>
      </c>
      <c r="H9" s="23">
        <v>322</v>
      </c>
      <c r="I9" s="25">
        <f>F9/(D9+E9)</f>
        <v>0.16666666666666666</v>
      </c>
      <c r="J9" s="25">
        <f>G9/F9</f>
        <v>12.53125</v>
      </c>
      <c r="K9" s="25">
        <f>H9/(D9+E9)</f>
        <v>1.6770833333333333</v>
      </c>
      <c r="N9" s="494" t="s">
        <v>51</v>
      </c>
      <c r="O9" s="495"/>
      <c r="P9" s="495"/>
      <c r="Q9" s="495"/>
      <c r="R9" s="495"/>
      <c r="S9" s="496"/>
    </row>
    <row r="10" spans="1:19">
      <c r="A10" s="24">
        <v>45375</v>
      </c>
      <c r="B10" s="23">
        <v>82</v>
      </c>
      <c r="C10" s="23" t="s">
        <v>62</v>
      </c>
      <c r="D10" s="23">
        <v>161</v>
      </c>
      <c r="E10" s="23">
        <v>17</v>
      </c>
      <c r="F10" s="23">
        <v>51</v>
      </c>
      <c r="G10" s="23">
        <v>727</v>
      </c>
      <c r="H10" s="23">
        <v>133</v>
      </c>
      <c r="I10" s="25">
        <f>F10/(D10+E10)</f>
        <v>0.28651685393258425</v>
      </c>
      <c r="J10" s="25">
        <f>G10/F10</f>
        <v>14.254901960784315</v>
      </c>
      <c r="K10" s="25">
        <f>H10/(D10+E10)</f>
        <v>0.7471910112359551</v>
      </c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N12" s="17">
        <v>1</v>
      </c>
      <c r="O12" s="18">
        <v>0</v>
      </c>
      <c r="P12" s="19">
        <f>O12*R7</f>
        <v>0</v>
      </c>
      <c r="Q12" s="17">
        <v>3</v>
      </c>
      <c r="R12" s="18">
        <v>35</v>
      </c>
      <c r="S12" s="19">
        <f>R12*R7</f>
        <v>468.02905138635282</v>
      </c>
    </row>
    <row r="13" spans="1:19" ht="15.7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N13" s="17">
        <v>2</v>
      </c>
      <c r="O13" s="18">
        <v>0</v>
      </c>
      <c r="P13" s="19">
        <f>O13*R7</f>
        <v>0</v>
      </c>
      <c r="Q13" s="17">
        <v>4</v>
      </c>
      <c r="R13" s="18">
        <v>16</v>
      </c>
      <c r="S13" s="19">
        <f>R7*R13</f>
        <v>213.95613777661842</v>
      </c>
    </row>
    <row r="14" spans="1:19" ht="15.7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N14" s="17">
        <v>3</v>
      </c>
      <c r="O14" s="18">
        <v>1</v>
      </c>
      <c r="P14" s="19">
        <f>R7*O14</f>
        <v>13.372258611038651</v>
      </c>
      <c r="Q14" s="17">
        <v>5</v>
      </c>
      <c r="R14" s="18">
        <v>0</v>
      </c>
      <c r="S14" s="19">
        <f>R14*R7</f>
        <v>0</v>
      </c>
    </row>
    <row r="15" spans="1:19" ht="15.7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N15" s="17">
        <v>4</v>
      </c>
      <c r="O15" s="18">
        <v>0</v>
      </c>
      <c r="P15" s="19">
        <f>R7*O15</f>
        <v>0</v>
      </c>
      <c r="Q15" s="17">
        <v>1</v>
      </c>
      <c r="R15" s="18">
        <v>0</v>
      </c>
      <c r="S15" s="19">
        <f>R7*R15</f>
        <v>0</v>
      </c>
    </row>
    <row r="16" spans="1:19" ht="15.7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N16" s="17">
        <v>5</v>
      </c>
      <c r="O16" s="18">
        <v>0</v>
      </c>
      <c r="P16" s="19">
        <f>R7*O16</f>
        <v>0</v>
      </c>
      <c r="Q16" s="17"/>
      <c r="R16" s="18">
        <v>0</v>
      </c>
      <c r="S16" s="19">
        <f>R7*R16</f>
        <v>0</v>
      </c>
    </row>
    <row r="17" spans="1:19" ht="15.7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N17" s="17">
        <v>6</v>
      </c>
      <c r="O17" s="18">
        <v>0</v>
      </c>
      <c r="P17" s="19">
        <f>R7*O17</f>
        <v>0</v>
      </c>
      <c r="Q17" s="17"/>
      <c r="R17" s="18">
        <v>0</v>
      </c>
      <c r="S17" s="19">
        <f>R7*R17</f>
        <v>0</v>
      </c>
    </row>
    <row r="18" spans="1:19" ht="15.7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N18" s="17">
        <v>7</v>
      </c>
      <c r="O18" s="18">
        <v>0</v>
      </c>
      <c r="P18" s="19">
        <f>R7*O18</f>
        <v>0</v>
      </c>
      <c r="Q18" s="17"/>
      <c r="R18" s="18">
        <v>0</v>
      </c>
      <c r="S18" s="19">
        <f>R7*R18</f>
        <v>0</v>
      </c>
    </row>
    <row r="19" spans="1:19" ht="15.7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N19" s="17">
        <v>8</v>
      </c>
      <c r="O19" s="18">
        <v>30</v>
      </c>
      <c r="P19" s="19">
        <f>R7*O19</f>
        <v>401.16775833115952</v>
      </c>
      <c r="Q19" s="17"/>
      <c r="R19" s="18">
        <v>0</v>
      </c>
      <c r="S19" s="19">
        <f>R7*R19</f>
        <v>0</v>
      </c>
    </row>
    <row r="20" spans="1:19" ht="15.7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N20" s="17">
        <v>9</v>
      </c>
      <c r="O20" s="18">
        <v>50</v>
      </c>
      <c r="P20" s="19">
        <f>R7*O20</f>
        <v>668.61293055193255</v>
      </c>
      <c r="Q20" s="17"/>
      <c r="R20" s="18">
        <v>0</v>
      </c>
      <c r="S20" s="19">
        <f>R7*R20</f>
        <v>0</v>
      </c>
    </row>
    <row r="21" spans="1:19" ht="15.7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N21" s="20" t="s">
        <v>53</v>
      </c>
      <c r="O21" s="18">
        <v>50</v>
      </c>
      <c r="P21" s="19">
        <f>R7*O21</f>
        <v>668.61293055193255</v>
      </c>
      <c r="Q21" s="17"/>
      <c r="R21" s="18"/>
      <c r="S21" s="19">
        <f>R7*R21</f>
        <v>0</v>
      </c>
    </row>
    <row r="22" spans="1:19" ht="15.7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N22" s="13" t="s">
        <v>59</v>
      </c>
      <c r="O22" s="21">
        <f>P8-O12-O13-O14-O15-O16-O17-O18-O19-O20-O21</f>
        <v>-93.913245539849385</v>
      </c>
      <c r="P22" s="21">
        <f>Q8-P12-P13-P14-P15-P16-P17-P18-P19-P20-P21</f>
        <v>-1255.832206360838</v>
      </c>
      <c r="Q22" s="13" t="s">
        <v>59</v>
      </c>
      <c r="R22" s="21">
        <f>P8-R12-R13-R14-R15-R16-R17-R18-R19-R20-R21</f>
        <v>-13.913245539849378</v>
      </c>
      <c r="S22" s="21">
        <f>Q8-S12-S13-S14-S15-S16-S17-S18-S19-S20-S21</f>
        <v>-186.05151747774599</v>
      </c>
    </row>
    <row r="23" spans="1:19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N23" s="13" t="s">
        <v>60</v>
      </c>
      <c r="O23" s="16">
        <f>O12+O13+O14+O15+O16+O17+O18+O19+O20+O21</f>
        <v>131</v>
      </c>
      <c r="P23" s="16">
        <f>P12+P13+P14+P15+P16+P17+P18+P19+P20+P21</f>
        <v>1751.7658780460633</v>
      </c>
      <c r="Q23" s="13" t="s">
        <v>60</v>
      </c>
      <c r="R23" s="16">
        <f>R12+R13+R14+R15+R16+R17+R18+R19+R20+R21</f>
        <v>51</v>
      </c>
      <c r="S23" s="16">
        <f>S12+S13+S14+S15+S16+S17+S18+S19+S20+S21</f>
        <v>681.98518916297121</v>
      </c>
    </row>
    <row r="24" spans="1:19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9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</row>
    <row r="26" spans="1:19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spans="1:19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spans="1:19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1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spans="1:19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</row>
  </sheetData>
  <sheetProtection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O5:O6"/>
    <mergeCell ref="N10:P10"/>
    <mergeCell ref="Q10:S10"/>
    <mergeCell ref="Q5:Q6"/>
    <mergeCell ref="R5:R6"/>
    <mergeCell ref="S5:S6"/>
    <mergeCell ref="R7:R8"/>
    <mergeCell ref="S7:S8"/>
    <mergeCell ref="N9:S9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8"/>
  <sheetViews>
    <sheetView workbookViewId="0">
      <selection activeCell="I4" sqref="I4"/>
    </sheetView>
  </sheetViews>
  <sheetFormatPr defaultRowHeight="15"/>
  <cols>
    <col min="1" max="1" width="10.140625" bestFit="1" customWidth="1"/>
  </cols>
  <sheetData>
    <row r="1" spans="1:11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1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188</v>
      </c>
    </row>
    <row r="3" spans="1:11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1">
      <c r="A4" s="2" t="s">
        <v>11</v>
      </c>
      <c r="B4" s="2" t="s">
        <v>12</v>
      </c>
      <c r="C4" s="500">
        <f>AVERAGEA(I7:I40)</f>
        <v>0.14799139045462573</v>
      </c>
      <c r="D4" s="501"/>
      <c r="E4" s="500">
        <f>AVERAGEA(J7:J40)</f>
        <v>13.830783081652646</v>
      </c>
      <c r="F4" s="501"/>
      <c r="G4" s="500">
        <f>AVERAGEA(K7:K40)</f>
        <v>2.1394735812015222</v>
      </c>
      <c r="H4" s="501"/>
      <c r="I4" s="3">
        <f>C4*K2</f>
        <v>27.822381405469635</v>
      </c>
      <c r="J4" s="3">
        <f>I4*E4</f>
        <v>384.80532203405659</v>
      </c>
      <c r="K4" s="3">
        <f>K2*G4</f>
        <v>402.22103326588615</v>
      </c>
    </row>
    <row r="5" spans="1:11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</row>
    <row r="6" spans="1:11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</row>
    <row r="7" spans="1:11">
      <c r="A7" s="33">
        <v>45567</v>
      </c>
      <c r="B7" s="29">
        <v>84</v>
      </c>
      <c r="C7" s="29" t="s">
        <v>62</v>
      </c>
      <c r="D7" s="29">
        <v>168</v>
      </c>
      <c r="E7" s="29">
        <v>8</v>
      </c>
      <c r="F7" s="29">
        <v>25</v>
      </c>
      <c r="G7" s="29">
        <v>364</v>
      </c>
      <c r="H7" s="29">
        <v>491</v>
      </c>
      <c r="I7" s="25">
        <f t="shared" ref="I7:I12" si="0">F7/(D7+E7)</f>
        <v>0.14204545454545456</v>
      </c>
      <c r="J7" s="25">
        <f t="shared" ref="J7:J12" si="1">G7/F7</f>
        <v>14.56</v>
      </c>
      <c r="K7" s="25">
        <f t="shared" ref="K7:K12" si="2">H7/(D7+E7)</f>
        <v>2.7897727272727271</v>
      </c>
    </row>
    <row r="8" spans="1:11">
      <c r="A8" s="24">
        <v>45571</v>
      </c>
      <c r="B8" s="23">
        <v>84</v>
      </c>
      <c r="C8" s="23" t="s">
        <v>62</v>
      </c>
      <c r="D8" s="23">
        <v>165</v>
      </c>
      <c r="E8" s="23">
        <v>5</v>
      </c>
      <c r="F8" s="23">
        <v>26</v>
      </c>
      <c r="G8" s="23">
        <v>371</v>
      </c>
      <c r="H8" s="23">
        <v>325</v>
      </c>
      <c r="I8" s="25">
        <f t="shared" si="0"/>
        <v>0.15294117647058825</v>
      </c>
      <c r="J8" s="25">
        <f t="shared" si="1"/>
        <v>14.26923076923077</v>
      </c>
      <c r="K8" s="25">
        <f t="shared" si="2"/>
        <v>1.911764705882353</v>
      </c>
    </row>
    <row r="9" spans="1:11">
      <c r="A9" s="24">
        <v>45574</v>
      </c>
      <c r="B9" s="23">
        <v>84</v>
      </c>
      <c r="C9" s="23" t="s">
        <v>62</v>
      </c>
      <c r="D9" s="23">
        <v>169</v>
      </c>
      <c r="E9" s="23">
        <v>11</v>
      </c>
      <c r="F9" s="23">
        <v>24</v>
      </c>
      <c r="G9" s="23">
        <v>300</v>
      </c>
      <c r="H9" s="23">
        <v>108</v>
      </c>
      <c r="I9" s="25">
        <f t="shared" si="0"/>
        <v>0.13333333333333333</v>
      </c>
      <c r="J9" s="25">
        <f t="shared" si="1"/>
        <v>12.5</v>
      </c>
      <c r="K9" s="25">
        <f t="shared" si="2"/>
        <v>0.6</v>
      </c>
    </row>
    <row r="10" spans="1:11">
      <c r="A10" s="24">
        <v>45578</v>
      </c>
      <c r="B10" s="23">
        <v>84</v>
      </c>
      <c r="C10" s="23" t="s">
        <v>62</v>
      </c>
      <c r="D10" s="23">
        <v>151</v>
      </c>
      <c r="E10" s="23">
        <v>9</v>
      </c>
      <c r="F10" s="23">
        <v>23</v>
      </c>
      <c r="G10" s="23">
        <v>297</v>
      </c>
      <c r="H10" s="23">
        <v>263</v>
      </c>
      <c r="I10" s="25">
        <f t="shared" si="0"/>
        <v>0.14374999999999999</v>
      </c>
      <c r="J10" s="25">
        <f t="shared" si="1"/>
        <v>12.913043478260869</v>
      </c>
      <c r="K10" s="25">
        <f t="shared" si="2"/>
        <v>1.64375</v>
      </c>
    </row>
    <row r="11" spans="1:11">
      <c r="A11" s="24">
        <v>45581</v>
      </c>
      <c r="B11" s="23">
        <v>84</v>
      </c>
      <c r="C11" s="23" t="s">
        <v>62</v>
      </c>
      <c r="D11" s="23">
        <v>177</v>
      </c>
      <c r="E11" s="23">
        <v>8</v>
      </c>
      <c r="F11" s="23">
        <v>33</v>
      </c>
      <c r="G11" s="23">
        <v>473</v>
      </c>
      <c r="H11" s="23">
        <v>528</v>
      </c>
      <c r="I11" s="25">
        <f t="shared" si="0"/>
        <v>0.17837837837837839</v>
      </c>
      <c r="J11" s="25">
        <f t="shared" si="1"/>
        <v>14.333333333333334</v>
      </c>
      <c r="K11" s="25">
        <f t="shared" si="2"/>
        <v>2.8540540540540542</v>
      </c>
    </row>
    <row r="12" spans="1:11">
      <c r="A12" s="24">
        <v>45585</v>
      </c>
      <c r="B12" s="23">
        <v>84</v>
      </c>
      <c r="C12" s="23" t="s">
        <v>62</v>
      </c>
      <c r="D12" s="23">
        <v>154</v>
      </c>
      <c r="E12" s="23">
        <v>6</v>
      </c>
      <c r="F12" s="23">
        <v>22</v>
      </c>
      <c r="G12" s="23">
        <v>317</v>
      </c>
      <c r="H12" s="23">
        <v>486</v>
      </c>
      <c r="I12" s="25">
        <f t="shared" si="0"/>
        <v>0.13750000000000001</v>
      </c>
      <c r="J12" s="25">
        <f t="shared" si="1"/>
        <v>14.409090909090908</v>
      </c>
      <c r="K12" s="25">
        <f t="shared" si="2"/>
        <v>3.0375000000000001</v>
      </c>
    </row>
    <row r="13" spans="1:11">
      <c r="A13" s="24"/>
      <c r="B13" s="23"/>
      <c r="C13" s="154"/>
      <c r="D13" s="23"/>
      <c r="E13" s="23"/>
      <c r="F13" s="23"/>
      <c r="G13" s="23"/>
      <c r="H13" s="23"/>
      <c r="I13" s="25"/>
      <c r="J13" s="25"/>
      <c r="K13" s="25"/>
    </row>
    <row r="14" spans="1:11">
      <c r="A14" s="24"/>
      <c r="B14" s="23"/>
      <c r="C14" s="23"/>
      <c r="D14" s="23"/>
      <c r="E14" s="23"/>
      <c r="F14" s="23"/>
      <c r="G14" s="23"/>
      <c r="H14" s="23"/>
      <c r="I14" s="25"/>
      <c r="J14" s="25"/>
      <c r="K14" s="25"/>
    </row>
    <row r="15" spans="1:11">
      <c r="A15" s="24"/>
      <c r="B15" s="23"/>
      <c r="C15" s="23"/>
      <c r="D15" s="23"/>
      <c r="E15" s="23"/>
      <c r="F15" s="23"/>
      <c r="G15" s="23"/>
      <c r="H15" s="23"/>
      <c r="I15" s="25"/>
      <c r="J15" s="25"/>
      <c r="K15" s="25"/>
    </row>
    <row r="16" spans="1:1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</row>
    <row r="17" spans="1:1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</row>
    <row r="18" spans="1:1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</row>
  </sheetData>
  <sheetProtection password="CC6F" sheet="1" objects="1" scenarios="1"/>
  <mergeCells count="23">
    <mergeCell ref="I5:I6"/>
    <mergeCell ref="J5:J6"/>
    <mergeCell ref="K5:K6"/>
    <mergeCell ref="C4:D4"/>
    <mergeCell ref="E4:F4"/>
    <mergeCell ref="G4:H4"/>
    <mergeCell ref="F5:G5"/>
    <mergeCell ref="H5:H6"/>
    <mergeCell ref="A5:A6"/>
    <mergeCell ref="B5:B6"/>
    <mergeCell ref="C5:C6"/>
    <mergeCell ref="D5:D6"/>
    <mergeCell ref="E5:E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 codeName="Лист34"/>
  <dimension ref="A1:S39"/>
  <sheetViews>
    <sheetView workbookViewId="0">
      <selection activeCell="I24" sqref="I24"/>
    </sheetView>
  </sheetViews>
  <sheetFormatPr defaultRowHeight="15"/>
  <cols>
    <col min="1" max="1" width="10.140625" bestFit="1" customWidth="1"/>
    <col min="3" max="3" width="10.140625" bestFit="1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175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11</v>
      </c>
      <c r="B4" s="2" t="s">
        <v>12</v>
      </c>
      <c r="C4" s="500">
        <f>AVERAGEA(I7:I40)</f>
        <v>0.21208064906902349</v>
      </c>
      <c r="D4" s="501"/>
      <c r="E4" s="500">
        <f>AVERAGEA(J7:J40)</f>
        <v>13.124052812841676</v>
      </c>
      <c r="F4" s="501"/>
      <c r="G4" s="500">
        <f>AVERAGEA(K7:K40)</f>
        <v>3.8342713830420987</v>
      </c>
      <c r="H4" s="501"/>
      <c r="I4" s="3">
        <f>C4*K2</f>
        <v>37.11411358707911</v>
      </c>
      <c r="J4" s="3">
        <f>I4*E4</f>
        <v>487.08758681863105</v>
      </c>
      <c r="K4" s="3">
        <f>K2*G4</f>
        <v>670.99749203236729</v>
      </c>
    </row>
    <row r="5" spans="1:19" ht="15" customHeight="1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  <c r="N6" s="492"/>
      <c r="O6" s="492"/>
      <c r="P6" s="492"/>
      <c r="Q6" s="492"/>
      <c r="R6" s="492"/>
      <c r="S6" s="492"/>
    </row>
    <row r="7" spans="1:19" ht="15.75">
      <c r="A7" s="24">
        <v>46113</v>
      </c>
      <c r="B7" s="29">
        <v>78</v>
      </c>
      <c r="C7" s="29" t="s">
        <v>62</v>
      </c>
      <c r="D7" s="29">
        <v>121</v>
      </c>
      <c r="E7" s="29">
        <v>6</v>
      </c>
      <c r="F7" s="29">
        <v>18</v>
      </c>
      <c r="G7" s="29">
        <v>246</v>
      </c>
      <c r="H7" s="29">
        <v>702</v>
      </c>
      <c r="I7" s="25">
        <f t="shared" ref="I7:I24" si="0">F7/(D7+E7)</f>
        <v>0.14173228346456693</v>
      </c>
      <c r="J7" s="25">
        <f t="shared" ref="J7:J24" si="1">G7/F7</f>
        <v>13.666666666666666</v>
      </c>
      <c r="K7" s="25">
        <f t="shared" ref="K7:K24" si="2">H7/(D7+E7)</f>
        <v>5.5275590551181102</v>
      </c>
      <c r="N7" s="13" t="s">
        <v>49</v>
      </c>
      <c r="O7" s="14">
        <f>K2</f>
        <v>175</v>
      </c>
      <c r="P7" s="15">
        <f>I4</f>
        <v>37.11411358707911</v>
      </c>
      <c r="Q7" s="15">
        <f>J4</f>
        <v>487.08758681863105</v>
      </c>
      <c r="R7" s="493">
        <f>Q7/P7</f>
        <v>13.124052812841676</v>
      </c>
      <c r="S7" s="493">
        <f>P7/O7</f>
        <v>0.21208064906902349</v>
      </c>
    </row>
    <row r="8" spans="1:19" ht="15.75">
      <c r="A8" s="24">
        <v>46115</v>
      </c>
      <c r="B8" s="23">
        <v>78</v>
      </c>
      <c r="C8" s="23" t="s">
        <v>62</v>
      </c>
      <c r="D8" s="23">
        <v>156</v>
      </c>
      <c r="E8" s="23">
        <v>8</v>
      </c>
      <c r="F8" s="23">
        <v>36</v>
      </c>
      <c r="G8" s="23">
        <v>442</v>
      </c>
      <c r="H8" s="23">
        <v>596</v>
      </c>
      <c r="I8" s="25">
        <f t="shared" si="0"/>
        <v>0.21951219512195122</v>
      </c>
      <c r="J8" s="25">
        <f t="shared" si="1"/>
        <v>12.277777777777779</v>
      </c>
      <c r="K8" s="25">
        <f t="shared" si="2"/>
        <v>3.6341463414634148</v>
      </c>
      <c r="N8" s="13" t="s">
        <v>50</v>
      </c>
      <c r="O8" s="14">
        <f>O7</f>
        <v>175</v>
      </c>
      <c r="P8" s="16">
        <f>O8*S7</f>
        <v>37.11411358707911</v>
      </c>
      <c r="Q8" s="16">
        <f>P8*R7</f>
        <v>487.08758681863105</v>
      </c>
      <c r="R8" s="492"/>
      <c r="S8" s="492"/>
    </row>
    <row r="9" spans="1:19">
      <c r="A9" s="24">
        <v>46117</v>
      </c>
      <c r="B9" s="23">
        <v>78</v>
      </c>
      <c r="C9" s="23" t="s">
        <v>74</v>
      </c>
      <c r="D9" s="23">
        <v>189</v>
      </c>
      <c r="E9" s="23">
        <v>9</v>
      </c>
      <c r="F9" s="23">
        <v>51</v>
      </c>
      <c r="G9" s="23">
        <v>673</v>
      </c>
      <c r="H9" s="23">
        <v>700</v>
      </c>
      <c r="I9" s="25">
        <f t="shared" si="0"/>
        <v>0.25757575757575757</v>
      </c>
      <c r="J9" s="25">
        <f t="shared" si="1"/>
        <v>13.196078431372548</v>
      </c>
      <c r="K9" s="25">
        <f t="shared" si="2"/>
        <v>3.5353535353535355</v>
      </c>
      <c r="N9" s="494" t="s">
        <v>51</v>
      </c>
      <c r="O9" s="495"/>
      <c r="P9" s="495"/>
      <c r="Q9" s="495"/>
      <c r="R9" s="495"/>
      <c r="S9" s="496"/>
    </row>
    <row r="10" spans="1:19">
      <c r="A10" s="24">
        <v>46118</v>
      </c>
      <c r="B10" s="23">
        <v>78</v>
      </c>
      <c r="C10" s="23" t="s">
        <v>62</v>
      </c>
      <c r="D10" s="23">
        <v>146</v>
      </c>
      <c r="E10" s="23">
        <v>11</v>
      </c>
      <c r="F10" s="23">
        <v>35</v>
      </c>
      <c r="G10" s="23">
        <v>443</v>
      </c>
      <c r="H10" s="23">
        <v>508</v>
      </c>
      <c r="I10" s="25">
        <f t="shared" si="0"/>
        <v>0.22292993630573249</v>
      </c>
      <c r="J10" s="25">
        <f t="shared" si="1"/>
        <v>12.657142857142857</v>
      </c>
      <c r="K10" s="25">
        <f t="shared" si="2"/>
        <v>3.2356687898089174</v>
      </c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24">
        <v>46119</v>
      </c>
      <c r="B11" s="23">
        <v>78</v>
      </c>
      <c r="C11" s="23" t="s">
        <v>62</v>
      </c>
      <c r="D11" s="23">
        <v>161</v>
      </c>
      <c r="E11" s="23">
        <v>9</v>
      </c>
      <c r="F11" s="23">
        <v>39</v>
      </c>
      <c r="G11" s="23">
        <v>547</v>
      </c>
      <c r="H11" s="23">
        <v>637</v>
      </c>
      <c r="I11" s="25">
        <f t="shared" si="0"/>
        <v>0.22941176470588234</v>
      </c>
      <c r="J11" s="25">
        <f t="shared" si="1"/>
        <v>14.025641025641026</v>
      </c>
      <c r="K11" s="25">
        <f t="shared" si="2"/>
        <v>3.7470588235294118</v>
      </c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24">
        <v>46120</v>
      </c>
      <c r="B12" s="23">
        <v>78</v>
      </c>
      <c r="C12" s="23" t="s">
        <v>62</v>
      </c>
      <c r="D12" s="23">
        <v>131</v>
      </c>
      <c r="E12" s="23">
        <v>11</v>
      </c>
      <c r="F12" s="23">
        <v>10</v>
      </c>
      <c r="G12" s="23">
        <v>158</v>
      </c>
      <c r="H12" s="23">
        <v>692</v>
      </c>
      <c r="I12" s="25">
        <f t="shared" si="0"/>
        <v>7.0422535211267609E-2</v>
      </c>
      <c r="J12" s="25">
        <f t="shared" si="1"/>
        <v>15.8</v>
      </c>
      <c r="K12" s="25">
        <f t="shared" si="2"/>
        <v>4.873239436619718</v>
      </c>
      <c r="N12" s="17">
        <v>1</v>
      </c>
      <c r="O12" s="18">
        <v>0</v>
      </c>
      <c r="P12" s="19">
        <f>O12*R7</f>
        <v>0</v>
      </c>
      <c r="Q12" s="17">
        <v>3</v>
      </c>
      <c r="R12" s="18">
        <v>113</v>
      </c>
      <c r="S12" s="19">
        <f>R12*R7</f>
        <v>1483.0179678511092</v>
      </c>
    </row>
    <row r="13" spans="1:19" ht="15.75">
      <c r="A13" s="24">
        <v>46122</v>
      </c>
      <c r="B13" s="23">
        <v>78</v>
      </c>
      <c r="C13" s="23" t="s">
        <v>62</v>
      </c>
      <c r="D13" s="23">
        <v>164</v>
      </c>
      <c r="E13" s="23">
        <v>2</v>
      </c>
      <c r="F13" s="23">
        <v>39</v>
      </c>
      <c r="G13" s="23">
        <v>528</v>
      </c>
      <c r="H13" s="23">
        <v>702</v>
      </c>
      <c r="I13" s="25">
        <f t="shared" si="0"/>
        <v>0.23493975903614459</v>
      </c>
      <c r="J13" s="25">
        <f t="shared" si="1"/>
        <v>13.538461538461538</v>
      </c>
      <c r="K13" s="25">
        <f t="shared" si="2"/>
        <v>4.2289156626506026</v>
      </c>
      <c r="N13" s="17">
        <v>2</v>
      </c>
      <c r="O13" s="18">
        <v>0</v>
      </c>
      <c r="P13" s="19">
        <f>O13*R7</f>
        <v>0</v>
      </c>
      <c r="Q13" s="17">
        <v>4</v>
      </c>
      <c r="R13" s="18">
        <v>30</v>
      </c>
      <c r="S13" s="19">
        <f>R7*R13</f>
        <v>393.72158438525025</v>
      </c>
    </row>
    <row r="14" spans="1:19" ht="15.75">
      <c r="A14" s="24">
        <v>46124</v>
      </c>
      <c r="B14" s="23">
        <v>78</v>
      </c>
      <c r="C14" s="23" t="s">
        <v>62</v>
      </c>
      <c r="D14" s="23">
        <v>179</v>
      </c>
      <c r="E14" s="23">
        <v>7</v>
      </c>
      <c r="F14" s="23">
        <v>64</v>
      </c>
      <c r="G14" s="23">
        <v>778</v>
      </c>
      <c r="H14" s="23">
        <v>646</v>
      </c>
      <c r="I14" s="25">
        <f t="shared" si="0"/>
        <v>0.34408602150537637</v>
      </c>
      <c r="J14" s="25">
        <f t="shared" si="1"/>
        <v>12.15625</v>
      </c>
      <c r="K14" s="25">
        <f t="shared" si="2"/>
        <v>3.4731182795698925</v>
      </c>
      <c r="N14" s="17">
        <v>3</v>
      </c>
      <c r="O14" s="18">
        <v>1</v>
      </c>
      <c r="P14" s="19">
        <f>R7*O14</f>
        <v>13.124052812841676</v>
      </c>
      <c r="Q14" s="17">
        <v>5</v>
      </c>
      <c r="R14" s="18">
        <v>35</v>
      </c>
      <c r="S14" s="19">
        <f>R14*R7</f>
        <v>459.34184844945867</v>
      </c>
    </row>
    <row r="15" spans="1:19" ht="15.75">
      <c r="A15" s="24">
        <v>46125</v>
      </c>
      <c r="B15" s="23">
        <v>78</v>
      </c>
      <c r="C15" s="23" t="s">
        <v>62</v>
      </c>
      <c r="D15" s="23">
        <v>159</v>
      </c>
      <c r="E15" s="23">
        <v>7</v>
      </c>
      <c r="F15" s="23">
        <v>38</v>
      </c>
      <c r="G15" s="23">
        <v>562</v>
      </c>
      <c r="H15" s="23">
        <v>648</v>
      </c>
      <c r="I15" s="25">
        <f t="shared" si="0"/>
        <v>0.2289156626506024</v>
      </c>
      <c r="J15" s="25">
        <f t="shared" si="1"/>
        <v>14.789473684210526</v>
      </c>
      <c r="K15" s="25">
        <f t="shared" si="2"/>
        <v>3.9036144578313254</v>
      </c>
      <c r="N15" s="17">
        <v>4</v>
      </c>
      <c r="O15" s="18">
        <v>0</v>
      </c>
      <c r="P15" s="19">
        <f>R7*O15</f>
        <v>0</v>
      </c>
      <c r="Q15" s="17">
        <v>1</v>
      </c>
      <c r="R15" s="18">
        <v>0</v>
      </c>
      <c r="S15" s="19">
        <f>R7*R15</f>
        <v>0</v>
      </c>
    </row>
    <row r="16" spans="1:19" ht="15.75">
      <c r="A16" s="24">
        <v>46126</v>
      </c>
      <c r="B16" s="23">
        <v>78</v>
      </c>
      <c r="C16" s="23" t="s">
        <v>62</v>
      </c>
      <c r="D16" s="23">
        <v>179</v>
      </c>
      <c r="E16" s="23">
        <v>8</v>
      </c>
      <c r="F16" s="23">
        <v>44</v>
      </c>
      <c r="G16" s="23">
        <v>537</v>
      </c>
      <c r="H16" s="23">
        <v>800</v>
      </c>
      <c r="I16" s="25">
        <f t="shared" si="0"/>
        <v>0.23529411764705882</v>
      </c>
      <c r="J16" s="25">
        <f t="shared" si="1"/>
        <v>12.204545454545455</v>
      </c>
      <c r="K16" s="25">
        <f t="shared" si="2"/>
        <v>4.2780748663101607</v>
      </c>
      <c r="N16" s="17">
        <v>5</v>
      </c>
      <c r="O16" s="18">
        <v>0</v>
      </c>
      <c r="P16" s="19">
        <f>R7*O16</f>
        <v>0</v>
      </c>
      <c r="Q16" s="17"/>
      <c r="R16" s="18">
        <v>0</v>
      </c>
      <c r="S16" s="19">
        <f>R7*R16</f>
        <v>0</v>
      </c>
    </row>
    <row r="17" spans="1:19" ht="15.75">
      <c r="A17" s="24">
        <v>46127</v>
      </c>
      <c r="B17" s="23">
        <v>78</v>
      </c>
      <c r="C17" s="348" t="s">
        <v>61</v>
      </c>
      <c r="D17" s="23">
        <v>194</v>
      </c>
      <c r="E17" s="23">
        <v>11</v>
      </c>
      <c r="F17" s="23">
        <v>28</v>
      </c>
      <c r="G17" s="23">
        <v>408</v>
      </c>
      <c r="H17" s="23">
        <v>492</v>
      </c>
      <c r="I17" s="25">
        <f t="shared" si="0"/>
        <v>0.13658536585365855</v>
      </c>
      <c r="J17" s="25">
        <f t="shared" si="1"/>
        <v>14.571428571428571</v>
      </c>
      <c r="K17" s="25">
        <f t="shared" si="2"/>
        <v>2.4</v>
      </c>
      <c r="N17" s="17">
        <v>6</v>
      </c>
      <c r="O17" s="18">
        <v>0</v>
      </c>
      <c r="P17" s="19">
        <f>R7*O17</f>
        <v>0</v>
      </c>
      <c r="Q17" s="17"/>
      <c r="R17" s="18">
        <v>0</v>
      </c>
      <c r="S17" s="19">
        <f>R7*R17</f>
        <v>0</v>
      </c>
    </row>
    <row r="18" spans="1:19" ht="15.75">
      <c r="A18" s="24">
        <v>46129</v>
      </c>
      <c r="B18" s="23">
        <v>78</v>
      </c>
      <c r="C18" s="351" t="s">
        <v>62</v>
      </c>
      <c r="D18" s="23">
        <v>171</v>
      </c>
      <c r="E18" s="23">
        <v>7</v>
      </c>
      <c r="F18" s="23">
        <v>28</v>
      </c>
      <c r="G18" s="23">
        <v>366</v>
      </c>
      <c r="H18" s="23">
        <v>522</v>
      </c>
      <c r="I18" s="25">
        <f t="shared" si="0"/>
        <v>0.15730337078651685</v>
      </c>
      <c r="J18" s="25">
        <f t="shared" si="1"/>
        <v>13.071428571428571</v>
      </c>
      <c r="K18" s="25">
        <f t="shared" si="2"/>
        <v>2.9325842696629212</v>
      </c>
      <c r="N18" s="17">
        <v>7</v>
      </c>
      <c r="O18" s="18">
        <v>0</v>
      </c>
      <c r="P18" s="19">
        <f>R7*O18</f>
        <v>0</v>
      </c>
      <c r="Q18" s="17"/>
      <c r="R18" s="18">
        <v>0</v>
      </c>
      <c r="S18" s="19">
        <f>R7*R18</f>
        <v>0</v>
      </c>
    </row>
    <row r="19" spans="1:19" ht="15.75">
      <c r="A19" s="24">
        <v>46131</v>
      </c>
      <c r="B19" s="23">
        <v>78</v>
      </c>
      <c r="C19" s="354" t="s">
        <v>62</v>
      </c>
      <c r="D19" s="23">
        <v>167</v>
      </c>
      <c r="E19" s="23">
        <v>4</v>
      </c>
      <c r="F19" s="23">
        <v>60</v>
      </c>
      <c r="G19" s="23">
        <v>780</v>
      </c>
      <c r="H19" s="23">
        <v>952</v>
      </c>
      <c r="I19" s="25">
        <f t="shared" si="0"/>
        <v>0.35087719298245612</v>
      </c>
      <c r="J19" s="25">
        <f t="shared" si="1"/>
        <v>13</v>
      </c>
      <c r="K19" s="25">
        <f t="shared" si="2"/>
        <v>5.5672514619883042</v>
      </c>
      <c r="N19" s="17">
        <v>8</v>
      </c>
      <c r="O19" s="18">
        <v>30</v>
      </c>
      <c r="P19" s="19">
        <f>R7*O19</f>
        <v>393.72158438525025</v>
      </c>
      <c r="Q19" s="17"/>
      <c r="R19" s="18">
        <v>0</v>
      </c>
      <c r="S19" s="19">
        <f>R7*R19</f>
        <v>0</v>
      </c>
    </row>
    <row r="20" spans="1:19" ht="15.75">
      <c r="A20" s="24">
        <v>46132</v>
      </c>
      <c r="B20" s="23">
        <v>78</v>
      </c>
      <c r="C20" s="23" t="s">
        <v>62</v>
      </c>
      <c r="D20" s="23">
        <v>158</v>
      </c>
      <c r="E20" s="23">
        <v>5</v>
      </c>
      <c r="F20" s="23">
        <v>30</v>
      </c>
      <c r="G20" s="23">
        <v>397</v>
      </c>
      <c r="H20" s="23">
        <v>520</v>
      </c>
      <c r="I20" s="25">
        <f t="shared" si="0"/>
        <v>0.18404907975460122</v>
      </c>
      <c r="J20" s="25">
        <f t="shared" si="1"/>
        <v>13.233333333333333</v>
      </c>
      <c r="K20" s="25">
        <f t="shared" si="2"/>
        <v>3.1901840490797544</v>
      </c>
      <c r="N20" s="17">
        <v>9</v>
      </c>
      <c r="O20" s="18">
        <v>50</v>
      </c>
      <c r="P20" s="19">
        <f>R7*O20</f>
        <v>656.20264064208379</v>
      </c>
      <c r="Q20" s="17"/>
      <c r="R20" s="18">
        <v>0</v>
      </c>
      <c r="S20" s="19">
        <f>R7*R20</f>
        <v>0</v>
      </c>
    </row>
    <row r="21" spans="1:19" ht="15.75">
      <c r="A21" s="24">
        <v>46133</v>
      </c>
      <c r="B21" s="23">
        <v>78</v>
      </c>
      <c r="C21" s="23" t="s">
        <v>62</v>
      </c>
      <c r="D21" s="23">
        <v>164</v>
      </c>
      <c r="E21" s="23">
        <v>5</v>
      </c>
      <c r="F21" s="23">
        <v>39</v>
      </c>
      <c r="G21" s="23">
        <v>438</v>
      </c>
      <c r="H21" s="23">
        <v>516</v>
      </c>
      <c r="I21" s="25">
        <f t="shared" si="0"/>
        <v>0.23076923076923078</v>
      </c>
      <c r="J21" s="25">
        <f t="shared" si="1"/>
        <v>11.23076923076923</v>
      </c>
      <c r="K21" s="25">
        <f t="shared" si="2"/>
        <v>3.0532544378698225</v>
      </c>
      <c r="N21" s="20" t="s">
        <v>53</v>
      </c>
      <c r="O21" s="18">
        <v>50</v>
      </c>
      <c r="P21" s="19">
        <f>R7*O21</f>
        <v>656.20264064208379</v>
      </c>
      <c r="Q21" s="17"/>
      <c r="R21" s="18"/>
      <c r="S21" s="19">
        <f>R7*R21</f>
        <v>0</v>
      </c>
    </row>
    <row r="22" spans="1:19" ht="15.75">
      <c r="A22" s="24">
        <v>46134</v>
      </c>
      <c r="B22" s="23">
        <v>78</v>
      </c>
      <c r="C22" s="23" t="s">
        <v>62</v>
      </c>
      <c r="D22" s="23">
        <v>140</v>
      </c>
      <c r="E22" s="23">
        <v>8</v>
      </c>
      <c r="F22" s="23">
        <v>20</v>
      </c>
      <c r="G22" s="23">
        <v>250</v>
      </c>
      <c r="H22" s="23">
        <v>567</v>
      </c>
      <c r="I22" s="25">
        <f t="shared" si="0"/>
        <v>0.13513513513513514</v>
      </c>
      <c r="J22" s="25">
        <f t="shared" si="1"/>
        <v>12.5</v>
      </c>
      <c r="K22" s="25">
        <f t="shared" si="2"/>
        <v>3.8310810810810811</v>
      </c>
      <c r="N22" s="13" t="s">
        <v>59</v>
      </c>
      <c r="O22" s="21">
        <f>P8-O12-O13-O14-O15-O16-O17-O18-O19-O20-O21</f>
        <v>-93.885886412920883</v>
      </c>
      <c r="P22" s="21">
        <f>Q8-P12-P13-P14-P15-P16-P17-P18-P19-P20-P21</f>
        <v>-1232.1633316636285</v>
      </c>
      <c r="Q22" s="13" t="s">
        <v>59</v>
      </c>
      <c r="R22" s="21">
        <f>P8-R12-R13-R14-R15-R16-R17-R18-R19-R20-R21</f>
        <v>-140.88588641292088</v>
      </c>
      <c r="S22" s="21">
        <f>Q8-S12-S13-S14-S15-S16-S17-S18-S19-S20-S21</f>
        <v>-1848.9938138671871</v>
      </c>
    </row>
    <row r="23" spans="1:19">
      <c r="A23" s="24">
        <v>46136</v>
      </c>
      <c r="B23" s="23">
        <v>78</v>
      </c>
      <c r="C23" s="23" t="s">
        <v>62</v>
      </c>
      <c r="D23" s="23">
        <v>167</v>
      </c>
      <c r="E23" s="23">
        <v>6</v>
      </c>
      <c r="F23" s="23">
        <v>32</v>
      </c>
      <c r="G23" s="23">
        <v>368</v>
      </c>
      <c r="H23" s="23">
        <v>693</v>
      </c>
      <c r="I23" s="25">
        <f t="shared" si="0"/>
        <v>0.18497109826589594</v>
      </c>
      <c r="J23" s="25">
        <f t="shared" si="1"/>
        <v>11.5</v>
      </c>
      <c r="K23" s="25">
        <f t="shared" si="2"/>
        <v>4.0057803468208091</v>
      </c>
      <c r="N23" s="13" t="s">
        <v>60</v>
      </c>
      <c r="O23" s="16">
        <f>O12+O13+O14+O15+O16+O17+O18+O19+O20+O21</f>
        <v>131</v>
      </c>
      <c r="P23" s="16">
        <f>P12+P13+P14+P15+P16+P17+P18+P19+P20+P21</f>
        <v>1719.2509184822593</v>
      </c>
      <c r="Q23" s="13" t="s">
        <v>60</v>
      </c>
      <c r="R23" s="16">
        <f>R12+R13+R14+R15+R16+R17+R18+R19+R20+R21</f>
        <v>178</v>
      </c>
      <c r="S23" s="16">
        <f>S12+S13+S14+S15+S16+S17+S18+S19+S20+S21</f>
        <v>2336.0814006858182</v>
      </c>
    </row>
    <row r="24" spans="1:19">
      <c r="A24" s="24">
        <v>46138</v>
      </c>
      <c r="B24" s="23">
        <v>78</v>
      </c>
      <c r="C24" s="24" t="s">
        <v>62</v>
      </c>
      <c r="D24" s="23">
        <v>160</v>
      </c>
      <c r="E24" s="23">
        <v>10</v>
      </c>
      <c r="F24" s="23">
        <v>43</v>
      </c>
      <c r="G24" s="23">
        <v>551</v>
      </c>
      <c r="H24" s="23">
        <v>612</v>
      </c>
      <c r="I24" s="25">
        <f t="shared" si="0"/>
        <v>0.25294117647058822</v>
      </c>
      <c r="J24" s="25">
        <f t="shared" si="1"/>
        <v>12.813953488372093</v>
      </c>
      <c r="K24" s="25">
        <f t="shared" si="2"/>
        <v>3.6</v>
      </c>
    </row>
    <row r="25" spans="1:19">
      <c r="A25" s="24"/>
      <c r="B25" s="23"/>
      <c r="C25" s="23"/>
      <c r="D25" s="23"/>
      <c r="E25" s="23"/>
      <c r="F25" s="23"/>
      <c r="G25" s="23"/>
      <c r="H25" s="23"/>
      <c r="I25" s="25"/>
      <c r="J25" s="25"/>
      <c r="K25" s="25"/>
    </row>
    <row r="26" spans="1:19">
      <c r="A26" s="24"/>
      <c r="B26" s="23"/>
      <c r="C26" s="23"/>
      <c r="D26" s="23"/>
      <c r="E26" s="23"/>
      <c r="F26" s="23"/>
      <c r="G26" s="23"/>
      <c r="H26" s="23"/>
      <c r="I26" s="25"/>
      <c r="J26" s="25"/>
      <c r="K26" s="25"/>
    </row>
    <row r="27" spans="1:19">
      <c r="A27" s="24"/>
      <c r="B27" s="23"/>
      <c r="C27" s="24"/>
      <c r="D27" s="23"/>
      <c r="E27" s="23"/>
      <c r="F27" s="23"/>
      <c r="G27" s="23"/>
      <c r="H27" s="23"/>
      <c r="I27" s="25"/>
      <c r="J27" s="25"/>
      <c r="K27" s="25"/>
    </row>
    <row r="28" spans="1:19">
      <c r="A28" s="24"/>
      <c r="B28" s="23"/>
      <c r="C28" s="23"/>
      <c r="D28" s="23"/>
      <c r="E28" s="23"/>
      <c r="F28" s="23"/>
      <c r="G28" s="23"/>
      <c r="H28" s="23"/>
      <c r="I28" s="25"/>
      <c r="J28" s="25"/>
      <c r="K28" s="25"/>
    </row>
    <row r="29" spans="1:19">
      <c r="A29" s="24"/>
      <c r="B29" s="23"/>
      <c r="C29" s="23"/>
      <c r="D29" s="23"/>
      <c r="E29" s="23"/>
      <c r="F29" s="23"/>
      <c r="G29" s="23"/>
      <c r="H29" s="23"/>
      <c r="I29" s="25"/>
      <c r="J29" s="25"/>
      <c r="K29" s="25"/>
    </row>
    <row r="30" spans="1:19">
      <c r="A30" s="24"/>
      <c r="B30" s="23"/>
      <c r="C30" s="23"/>
      <c r="D30" s="23"/>
      <c r="E30" s="23"/>
      <c r="F30" s="23"/>
      <c r="G30" s="23"/>
      <c r="H30" s="23"/>
      <c r="I30" s="25"/>
      <c r="J30" s="25"/>
      <c r="K30" s="25"/>
    </row>
    <row r="31" spans="1:19">
      <c r="A31" s="24"/>
      <c r="B31" s="23"/>
      <c r="C31" s="23"/>
      <c r="D31" s="23"/>
      <c r="E31" s="23"/>
      <c r="F31" s="23"/>
      <c r="G31" s="23"/>
      <c r="H31" s="23"/>
      <c r="I31" s="25"/>
      <c r="J31" s="25"/>
      <c r="K31" s="25"/>
    </row>
    <row r="32" spans="1:19">
      <c r="A32" s="24"/>
      <c r="B32" s="23"/>
      <c r="C32" s="23"/>
      <c r="D32" s="23"/>
      <c r="E32" s="23"/>
      <c r="F32" s="23"/>
      <c r="G32" s="23"/>
      <c r="H32" s="23"/>
      <c r="I32" s="25"/>
      <c r="J32" s="25"/>
      <c r="K32" s="25"/>
    </row>
    <row r="33" spans="1:11">
      <c r="A33" s="24"/>
      <c r="B33" s="23"/>
      <c r="C33" s="23"/>
      <c r="D33" s="23"/>
      <c r="E33" s="23"/>
      <c r="F33" s="23"/>
      <c r="G33" s="23"/>
      <c r="H33" s="23"/>
      <c r="I33" s="25"/>
      <c r="J33" s="25"/>
      <c r="K33" s="25"/>
    </row>
    <row r="34" spans="1:11">
      <c r="A34" s="24"/>
      <c r="B34" s="23"/>
      <c r="C34" s="23"/>
      <c r="D34" s="23"/>
      <c r="E34" s="23"/>
      <c r="F34" s="23"/>
      <c r="G34" s="23"/>
      <c r="H34" s="23"/>
      <c r="I34" s="25"/>
      <c r="J34" s="25"/>
      <c r="K34" s="25"/>
    </row>
    <row r="35" spans="1:11">
      <c r="A35" s="24"/>
      <c r="B35" s="23"/>
      <c r="C35" s="23"/>
      <c r="D35" s="23"/>
      <c r="E35" s="23"/>
      <c r="F35" s="23"/>
      <c r="G35" s="23"/>
      <c r="H35" s="23"/>
      <c r="I35" s="25"/>
      <c r="J35" s="25"/>
      <c r="K35" s="25"/>
    </row>
    <row r="36" spans="1:11">
      <c r="A36" s="24"/>
      <c r="B36" s="23"/>
      <c r="C36" s="23"/>
      <c r="D36" s="23"/>
      <c r="E36" s="23"/>
      <c r="F36" s="23"/>
      <c r="G36" s="23"/>
      <c r="H36" s="23"/>
      <c r="I36" s="25"/>
      <c r="J36" s="25"/>
      <c r="K36" s="25"/>
    </row>
    <row r="37" spans="1:11">
      <c r="A37" s="24"/>
      <c r="B37" s="23"/>
      <c r="C37" s="23"/>
      <c r="D37" s="23"/>
      <c r="E37" s="23"/>
      <c r="F37" s="23"/>
      <c r="G37" s="23"/>
      <c r="H37" s="23"/>
      <c r="I37" s="25"/>
      <c r="J37" s="25"/>
      <c r="K37" s="25"/>
    </row>
    <row r="38" spans="1:1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spans="1:1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</row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O5:O6"/>
    <mergeCell ref="N10:P10"/>
    <mergeCell ref="Q10:S10"/>
    <mergeCell ref="Q5:Q6"/>
    <mergeCell ref="R5:R6"/>
    <mergeCell ref="S5:S6"/>
    <mergeCell ref="R7:R8"/>
    <mergeCell ref="S7:S8"/>
    <mergeCell ref="N9:S9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Лист2"/>
  <dimension ref="A1:S1000"/>
  <sheetViews>
    <sheetView workbookViewId="0">
      <selection activeCell="D20" sqref="D20"/>
    </sheetView>
  </sheetViews>
  <sheetFormatPr defaultColWidth="14.42578125" defaultRowHeight="15" customHeight="1"/>
  <cols>
    <col min="1" max="1" width="11" customWidth="1"/>
    <col min="2" max="8" width="8.7109375" customWidth="1"/>
    <col min="9" max="9" width="14" customWidth="1"/>
    <col min="10" max="10" width="15.5703125" customWidth="1"/>
    <col min="11" max="11" width="12.85546875" customWidth="1"/>
    <col min="12" max="13" width="8.7109375" customWidth="1"/>
    <col min="14" max="14" width="12" customWidth="1"/>
    <col min="15" max="15" width="11.5703125" customWidth="1"/>
    <col min="16" max="16" width="13.5703125" customWidth="1"/>
    <col min="17" max="17" width="12" customWidth="1"/>
    <col min="18" max="18" width="10.42578125" customWidth="1"/>
    <col min="19" max="19" width="12.7109375" customWidth="1"/>
    <col min="20" max="26" width="8.7109375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185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11</v>
      </c>
      <c r="B4" s="2" t="s">
        <v>24</v>
      </c>
      <c r="C4" s="500">
        <f>AVERAGEA(I7:I40)</f>
        <v>0.39859066779438379</v>
      </c>
      <c r="D4" s="501"/>
      <c r="E4" s="500">
        <f>AVERAGEA(J7:J40)</f>
        <v>13.584611846856104</v>
      </c>
      <c r="F4" s="501"/>
      <c r="G4" s="500">
        <f>AVERAGEA(K7:K40)</f>
        <v>2.0559171387638364</v>
      </c>
      <c r="H4" s="501"/>
      <c r="I4" s="3">
        <f>C4*K2</f>
        <v>73.739273541960998</v>
      </c>
      <c r="J4" s="3">
        <f>I4*E4</f>
        <v>1001.7194089366862</v>
      </c>
      <c r="K4" s="3">
        <f>K2*G4</f>
        <v>380.34467067130976</v>
      </c>
    </row>
    <row r="5" spans="1:19" ht="15" customHeight="1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  <c r="N6" s="492"/>
      <c r="O6" s="492"/>
      <c r="P6" s="492"/>
      <c r="Q6" s="492"/>
      <c r="R6" s="492"/>
      <c r="S6" s="492"/>
    </row>
    <row r="7" spans="1:19" ht="15.75">
      <c r="A7" s="28">
        <v>46204</v>
      </c>
      <c r="B7" s="29">
        <v>268</v>
      </c>
      <c r="C7" s="29" t="s">
        <v>62</v>
      </c>
      <c r="D7" s="29">
        <v>161</v>
      </c>
      <c r="E7" s="29">
        <v>13</v>
      </c>
      <c r="F7" s="29">
        <v>68</v>
      </c>
      <c r="G7" s="29">
        <v>879</v>
      </c>
      <c r="H7" s="29">
        <v>204</v>
      </c>
      <c r="I7" s="25">
        <f t="shared" ref="I7:I13" si="0">F7/(D7+E7)</f>
        <v>0.39080459770114945</v>
      </c>
      <c r="J7" s="25">
        <f t="shared" ref="J7:J13" si="1">G7/F7</f>
        <v>12.926470588235293</v>
      </c>
      <c r="K7" s="25">
        <f t="shared" ref="K7:K13" si="2">H7/(D7+E7)</f>
        <v>1.1724137931034482</v>
      </c>
      <c r="N7" s="13" t="s">
        <v>49</v>
      </c>
      <c r="O7" s="14">
        <f>K2</f>
        <v>185</v>
      </c>
      <c r="P7" s="15">
        <f>I4</f>
        <v>73.739273541960998</v>
      </c>
      <c r="Q7" s="15">
        <f>J4</f>
        <v>1001.7194089366862</v>
      </c>
      <c r="R7" s="493">
        <f>Q7/P7</f>
        <v>13.584611846856104</v>
      </c>
      <c r="S7" s="493">
        <f>P7/O7</f>
        <v>0.39859066779438379</v>
      </c>
    </row>
    <row r="8" spans="1:19" ht="15.75">
      <c r="A8" s="24">
        <v>46206</v>
      </c>
      <c r="B8" s="23">
        <v>268</v>
      </c>
      <c r="C8" s="23" t="s">
        <v>62</v>
      </c>
      <c r="D8" s="23">
        <v>154</v>
      </c>
      <c r="E8" s="23">
        <v>17</v>
      </c>
      <c r="F8" s="23">
        <v>58</v>
      </c>
      <c r="G8" s="23">
        <v>832</v>
      </c>
      <c r="H8" s="23">
        <v>571</v>
      </c>
      <c r="I8" s="25">
        <f t="shared" si="0"/>
        <v>0.33918128654970758</v>
      </c>
      <c r="J8" s="25">
        <f t="shared" si="1"/>
        <v>14.344827586206897</v>
      </c>
      <c r="K8" s="25">
        <f t="shared" si="2"/>
        <v>3.3391812865497075</v>
      </c>
      <c r="N8" s="13" t="s">
        <v>50</v>
      </c>
      <c r="O8" s="14">
        <f>O7</f>
        <v>185</v>
      </c>
      <c r="P8" s="16">
        <f>O8*S7</f>
        <v>73.739273541960998</v>
      </c>
      <c r="Q8" s="16">
        <f>P8*R7</f>
        <v>1001.7194089366862</v>
      </c>
      <c r="R8" s="492"/>
      <c r="S8" s="492"/>
    </row>
    <row r="9" spans="1:19">
      <c r="A9" s="24">
        <v>46208</v>
      </c>
      <c r="B9" s="23">
        <v>268</v>
      </c>
      <c r="C9" s="23" t="s">
        <v>62</v>
      </c>
      <c r="D9" s="23">
        <v>162</v>
      </c>
      <c r="E9" s="23">
        <v>18</v>
      </c>
      <c r="F9" s="23">
        <v>72</v>
      </c>
      <c r="G9" s="23">
        <v>979</v>
      </c>
      <c r="H9" s="23">
        <v>148</v>
      </c>
      <c r="I9" s="25">
        <f t="shared" si="0"/>
        <v>0.4</v>
      </c>
      <c r="J9" s="25">
        <f t="shared" si="1"/>
        <v>13.597222222222221</v>
      </c>
      <c r="K9" s="25">
        <f t="shared" si="2"/>
        <v>0.82222222222222219</v>
      </c>
      <c r="N9" s="494" t="s">
        <v>51</v>
      </c>
      <c r="O9" s="495"/>
      <c r="P9" s="495"/>
      <c r="Q9" s="495"/>
      <c r="R9" s="495"/>
      <c r="S9" s="496"/>
    </row>
    <row r="10" spans="1:19">
      <c r="A10" s="24">
        <v>46211</v>
      </c>
      <c r="B10" s="23">
        <v>268</v>
      </c>
      <c r="C10" s="23" t="s">
        <v>62</v>
      </c>
      <c r="D10" s="23">
        <v>166</v>
      </c>
      <c r="E10" s="23">
        <v>15</v>
      </c>
      <c r="F10" s="23">
        <v>66</v>
      </c>
      <c r="G10" s="23">
        <v>946</v>
      </c>
      <c r="H10" s="23">
        <v>666</v>
      </c>
      <c r="I10" s="25">
        <f t="shared" si="0"/>
        <v>0.36464088397790057</v>
      </c>
      <c r="J10" s="25">
        <f t="shared" si="1"/>
        <v>14.333333333333334</v>
      </c>
      <c r="K10" s="25">
        <f t="shared" si="2"/>
        <v>3.6795580110497239</v>
      </c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24">
        <v>46213</v>
      </c>
      <c r="B11" s="23">
        <v>268</v>
      </c>
      <c r="C11" s="23" t="s">
        <v>62</v>
      </c>
      <c r="D11" s="23">
        <v>168</v>
      </c>
      <c r="E11" s="23">
        <v>17</v>
      </c>
      <c r="F11" s="23">
        <v>64</v>
      </c>
      <c r="G11" s="23">
        <v>846</v>
      </c>
      <c r="H11" s="23">
        <v>380</v>
      </c>
      <c r="I11" s="25">
        <f t="shared" si="0"/>
        <v>0.34594594594594597</v>
      </c>
      <c r="J11" s="25">
        <f t="shared" si="1"/>
        <v>13.21875</v>
      </c>
      <c r="K11" s="25">
        <f t="shared" si="2"/>
        <v>2.0540540540540539</v>
      </c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24">
        <v>46215</v>
      </c>
      <c r="B12" s="23">
        <v>268</v>
      </c>
      <c r="C12" s="23" t="s">
        <v>62</v>
      </c>
      <c r="D12" s="23">
        <v>159</v>
      </c>
      <c r="E12" s="23">
        <v>17</v>
      </c>
      <c r="F12" s="23">
        <v>57</v>
      </c>
      <c r="G12" s="23">
        <v>763</v>
      </c>
      <c r="H12" s="23">
        <v>293</v>
      </c>
      <c r="I12" s="25">
        <f t="shared" si="0"/>
        <v>0.32386363636363635</v>
      </c>
      <c r="J12" s="25">
        <f t="shared" si="1"/>
        <v>13.385964912280702</v>
      </c>
      <c r="K12" s="25">
        <f t="shared" si="2"/>
        <v>1.6647727272727273</v>
      </c>
      <c r="N12" s="17">
        <v>1</v>
      </c>
      <c r="O12" s="18">
        <v>35</v>
      </c>
      <c r="P12" s="19">
        <f>O12*R7</f>
        <v>475.46141463996366</v>
      </c>
      <c r="Q12" s="17">
        <v>3</v>
      </c>
      <c r="R12" s="18">
        <v>35</v>
      </c>
      <c r="S12" s="19">
        <f>R12*R7</f>
        <v>475.46141463996366</v>
      </c>
    </row>
    <row r="13" spans="1:19" ht="15.75">
      <c r="A13" s="24">
        <v>46218</v>
      </c>
      <c r="B13" s="23">
        <v>268</v>
      </c>
      <c r="C13" s="24" t="s">
        <v>62</v>
      </c>
      <c r="D13" s="23">
        <v>166</v>
      </c>
      <c r="E13" s="23">
        <v>13</v>
      </c>
      <c r="F13" s="23">
        <v>112</v>
      </c>
      <c r="G13" s="23">
        <v>1488</v>
      </c>
      <c r="H13" s="23">
        <v>297</v>
      </c>
      <c r="I13" s="25">
        <f t="shared" si="0"/>
        <v>0.62569832402234637</v>
      </c>
      <c r="J13" s="25">
        <f t="shared" si="1"/>
        <v>13.285714285714286</v>
      </c>
      <c r="K13" s="25">
        <f t="shared" si="2"/>
        <v>1.6592178770949721</v>
      </c>
      <c r="N13" s="17">
        <v>2</v>
      </c>
      <c r="O13" s="18">
        <v>35</v>
      </c>
      <c r="P13" s="19">
        <f>O13*R7</f>
        <v>475.46141463996366</v>
      </c>
      <c r="Q13" s="17">
        <v>4</v>
      </c>
      <c r="R13" s="18">
        <v>35</v>
      </c>
      <c r="S13" s="19">
        <f>R7*R13</f>
        <v>475.46141463996366</v>
      </c>
    </row>
    <row r="14" spans="1:19" ht="15.75">
      <c r="A14" s="101"/>
      <c r="B14" s="207"/>
      <c r="C14" s="207"/>
      <c r="D14" s="207"/>
      <c r="E14" s="207"/>
      <c r="F14" s="207"/>
      <c r="G14" s="207"/>
      <c r="H14" s="207"/>
      <c r="I14" s="208"/>
      <c r="J14" s="208"/>
      <c r="K14" s="208"/>
      <c r="N14" s="17">
        <v>3</v>
      </c>
      <c r="O14" s="18">
        <v>35</v>
      </c>
      <c r="P14" s="19">
        <f>R7*O14</f>
        <v>475.46141463996366</v>
      </c>
      <c r="Q14" s="17">
        <v>5</v>
      </c>
      <c r="R14" s="18">
        <v>30</v>
      </c>
      <c r="S14" s="19">
        <f>R14*R7</f>
        <v>407.53835540568315</v>
      </c>
    </row>
    <row r="15" spans="1:19" ht="15.75">
      <c r="A15" s="24"/>
      <c r="B15" s="23"/>
      <c r="C15" s="23"/>
      <c r="D15" s="23"/>
      <c r="E15" s="23"/>
      <c r="F15" s="23"/>
      <c r="G15" s="23"/>
      <c r="H15" s="23"/>
      <c r="I15" s="25"/>
      <c r="J15" s="25"/>
      <c r="K15" s="25"/>
      <c r="N15" s="17">
        <v>4</v>
      </c>
      <c r="O15" s="18">
        <v>35</v>
      </c>
      <c r="P15" s="19">
        <f>R7*O15</f>
        <v>475.46141463996366</v>
      </c>
      <c r="Q15" s="17">
        <v>1</v>
      </c>
      <c r="R15" s="18">
        <v>0</v>
      </c>
      <c r="S15" s="19">
        <f>R7*R15</f>
        <v>0</v>
      </c>
    </row>
    <row r="16" spans="1:19" ht="15.75">
      <c r="A16" s="24"/>
      <c r="B16" s="23"/>
      <c r="C16" s="406"/>
      <c r="D16" s="23"/>
      <c r="E16" s="23"/>
      <c r="F16" s="23"/>
      <c r="G16" s="23"/>
      <c r="H16" s="23"/>
      <c r="I16" s="25"/>
      <c r="J16" s="25"/>
      <c r="K16" s="25"/>
      <c r="N16" s="17">
        <v>5</v>
      </c>
      <c r="O16" s="18">
        <v>0</v>
      </c>
      <c r="P16" s="19">
        <f>R7*O16</f>
        <v>0</v>
      </c>
      <c r="Q16" s="17"/>
      <c r="R16" s="18">
        <v>0</v>
      </c>
      <c r="S16" s="19">
        <f>R7*R16</f>
        <v>0</v>
      </c>
    </row>
    <row r="17" spans="1:19" ht="15.75">
      <c r="A17" s="24"/>
      <c r="B17" s="23"/>
      <c r="C17" s="406"/>
      <c r="D17" s="23"/>
      <c r="E17" s="23"/>
      <c r="F17" s="23"/>
      <c r="G17" s="23"/>
      <c r="H17" s="23"/>
      <c r="I17" s="25"/>
      <c r="J17" s="25"/>
      <c r="K17" s="25"/>
      <c r="N17" s="17">
        <v>6</v>
      </c>
      <c r="O17" s="18">
        <v>0</v>
      </c>
      <c r="P17" s="19">
        <f>R7*O17</f>
        <v>0</v>
      </c>
      <c r="Q17" s="17"/>
      <c r="R17" s="18">
        <v>0</v>
      </c>
      <c r="S17" s="19">
        <f>R7*R17</f>
        <v>0</v>
      </c>
    </row>
    <row r="18" spans="1:19" ht="15.75">
      <c r="A18" s="24"/>
      <c r="B18" s="23"/>
      <c r="C18" s="23"/>
      <c r="D18" s="23"/>
      <c r="E18" s="23"/>
      <c r="F18" s="23"/>
      <c r="G18" s="23"/>
      <c r="H18" s="23"/>
      <c r="I18" s="25"/>
      <c r="J18" s="25"/>
      <c r="K18" s="25"/>
      <c r="N18" s="17">
        <v>7</v>
      </c>
      <c r="O18" s="18">
        <v>0</v>
      </c>
      <c r="P18" s="19">
        <f>R7*O18</f>
        <v>0</v>
      </c>
      <c r="Q18" s="17"/>
      <c r="R18" s="18">
        <v>0</v>
      </c>
      <c r="S18" s="19">
        <f>R7*R18</f>
        <v>0</v>
      </c>
    </row>
    <row r="19" spans="1:19" ht="15.75">
      <c r="A19" s="24"/>
      <c r="B19" s="23"/>
      <c r="C19" s="23"/>
      <c r="D19" s="23"/>
      <c r="E19" s="23"/>
      <c r="F19" s="23"/>
      <c r="G19" s="23"/>
      <c r="H19" s="23"/>
      <c r="I19" s="25"/>
      <c r="J19" s="25"/>
      <c r="K19" s="25"/>
      <c r="N19" s="17">
        <v>8</v>
      </c>
      <c r="O19" s="18">
        <v>0</v>
      </c>
      <c r="P19" s="19">
        <f>R7*O19</f>
        <v>0</v>
      </c>
      <c r="Q19" s="17"/>
      <c r="R19" s="18">
        <v>0</v>
      </c>
      <c r="S19" s="19">
        <f>R7*R19</f>
        <v>0</v>
      </c>
    </row>
    <row r="20" spans="1:19" ht="15.75">
      <c r="A20" s="24"/>
      <c r="B20" s="23"/>
      <c r="C20" s="23"/>
      <c r="D20" s="23"/>
      <c r="E20" s="23"/>
      <c r="F20" s="23"/>
      <c r="G20" s="23"/>
      <c r="H20" s="23"/>
      <c r="I20" s="25"/>
      <c r="J20" s="25"/>
      <c r="K20" s="25"/>
      <c r="N20" s="17">
        <v>9</v>
      </c>
      <c r="O20" s="18">
        <v>0</v>
      </c>
      <c r="P20" s="19">
        <f>R7*O20</f>
        <v>0</v>
      </c>
      <c r="Q20" s="17"/>
      <c r="R20" s="18">
        <v>0</v>
      </c>
      <c r="S20" s="19">
        <f>R7*R20</f>
        <v>0</v>
      </c>
    </row>
    <row r="21" spans="1:19" ht="15.75" customHeight="1">
      <c r="A21" s="24"/>
      <c r="B21" s="23"/>
      <c r="C21" s="23"/>
      <c r="D21" s="23"/>
      <c r="E21" s="23"/>
      <c r="F21" s="23"/>
      <c r="G21" s="23"/>
      <c r="H21" s="23"/>
      <c r="I21" s="25"/>
      <c r="J21" s="25"/>
      <c r="K21" s="25"/>
      <c r="N21" s="20" t="s">
        <v>53</v>
      </c>
      <c r="O21" s="18">
        <v>0</v>
      </c>
      <c r="P21" s="19">
        <f>R7*O21</f>
        <v>0</v>
      </c>
      <c r="Q21" s="17"/>
      <c r="R21" s="18"/>
      <c r="S21" s="19">
        <f>R7*R21</f>
        <v>0</v>
      </c>
    </row>
    <row r="22" spans="1:19" ht="15.75" customHeight="1">
      <c r="A22" s="24"/>
      <c r="B22" s="23"/>
      <c r="C22" s="23"/>
      <c r="D22" s="23"/>
      <c r="E22" s="23"/>
      <c r="F22" s="23"/>
      <c r="G22" s="23"/>
      <c r="H22" s="23"/>
      <c r="I22" s="25"/>
      <c r="J22" s="25"/>
      <c r="K22" s="25"/>
      <c r="N22" s="13" t="s">
        <v>59</v>
      </c>
      <c r="O22" s="21">
        <f>P8-O12-O13-O14-O15-O16-O17-O18-O19-O20-O21</f>
        <v>-66.260726458039002</v>
      </c>
      <c r="P22" s="21">
        <f>Q8-P12-P13-P14-P15-P16-P17-P18-P19-P20-P21</f>
        <v>-900.12624962316841</v>
      </c>
      <c r="Q22" s="13" t="s">
        <v>59</v>
      </c>
      <c r="R22" s="21">
        <f>P8-R12-R13-R14-R15-R16-R17-R18-R19-R20-R21</f>
        <v>-26.260726458039002</v>
      </c>
      <c r="S22" s="21">
        <f>Q8-S12-S13-S14-S15-S16-S17-S18-S19-S20-S21</f>
        <v>-356.74177574892423</v>
      </c>
    </row>
    <row r="23" spans="1:19" ht="15.75" customHeight="1">
      <c r="A23" s="24"/>
      <c r="B23" s="23"/>
      <c r="C23" s="23"/>
      <c r="D23" s="23"/>
      <c r="E23" s="23"/>
      <c r="F23" s="23"/>
      <c r="G23" s="23"/>
      <c r="H23" s="23"/>
      <c r="I23" s="25"/>
      <c r="J23" s="25"/>
      <c r="K23" s="25"/>
      <c r="N23" s="13" t="s">
        <v>60</v>
      </c>
      <c r="O23" s="16">
        <f>O12+O13+O14+O15+O16+O17+O18+O19+O20+O21</f>
        <v>140</v>
      </c>
      <c r="P23" s="16">
        <f>P12+P13+P14+P15+P16+P17+P18+P19+P20+P21</f>
        <v>1901.8456585598547</v>
      </c>
      <c r="Q23" s="13" t="s">
        <v>60</v>
      </c>
      <c r="R23" s="16">
        <f>R12+R13+R14+R15+R16+R17+R18+R19+R20+R21</f>
        <v>100</v>
      </c>
      <c r="S23" s="16">
        <f>S12+S13+S14+S15+S16+S17+S18+S19+S20+S21</f>
        <v>1358.4611846856105</v>
      </c>
    </row>
    <row r="24" spans="1:19" ht="15.75" customHeight="1">
      <c r="A24" s="24"/>
      <c r="B24" s="23"/>
      <c r="C24" s="23"/>
      <c r="D24" s="23"/>
      <c r="E24" s="23"/>
      <c r="F24" s="23"/>
      <c r="G24" s="23"/>
      <c r="H24" s="23"/>
      <c r="I24" s="25"/>
      <c r="J24" s="25"/>
      <c r="K24" s="25"/>
    </row>
    <row r="25" spans="1:19" ht="15.75" customHeight="1">
      <c r="A25" s="24"/>
      <c r="B25" s="23"/>
      <c r="C25" s="23"/>
      <c r="D25" s="23"/>
      <c r="E25" s="23"/>
      <c r="F25" s="23"/>
      <c r="G25" s="23"/>
      <c r="H25" s="23"/>
      <c r="I25" s="25"/>
      <c r="J25" s="25"/>
      <c r="K25" s="25"/>
    </row>
    <row r="26" spans="1:19" ht="15.75" customHeight="1">
      <c r="A26" s="24"/>
      <c r="B26" s="23"/>
      <c r="C26" s="23"/>
      <c r="D26" s="23"/>
      <c r="E26" s="23"/>
      <c r="F26" s="23"/>
      <c r="G26" s="23"/>
      <c r="H26" s="23"/>
      <c r="I26" s="25"/>
      <c r="J26" s="25"/>
      <c r="K26" s="25"/>
    </row>
    <row r="27" spans="1:19" ht="15.75" customHeight="1">
      <c r="A27" s="24"/>
      <c r="B27" s="23"/>
      <c r="C27" s="23"/>
      <c r="D27" s="23"/>
      <c r="E27" s="23"/>
      <c r="F27" s="23"/>
      <c r="G27" s="23"/>
      <c r="H27" s="23"/>
      <c r="I27" s="25"/>
      <c r="J27" s="25"/>
      <c r="K27" s="25"/>
    </row>
    <row r="28" spans="1:19" ht="15.75" customHeight="1">
      <c r="A28" s="24"/>
      <c r="B28" s="23"/>
      <c r="C28" s="23"/>
      <c r="D28" s="23"/>
      <c r="E28" s="23"/>
      <c r="F28" s="23"/>
      <c r="G28" s="23"/>
      <c r="H28" s="23"/>
      <c r="I28" s="25"/>
      <c r="J28" s="25"/>
      <c r="K28" s="25"/>
    </row>
    <row r="29" spans="1:1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spans="1:19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spans="1:19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 spans="1:19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7"/>
      <c r="O55" s="7"/>
      <c r="P55" s="7"/>
      <c r="Q55" s="7"/>
      <c r="R55" s="7"/>
      <c r="S55" s="7"/>
    </row>
    <row r="56" spans="14:19" ht="15.75" customHeight="1">
      <c r="N56" s="22"/>
      <c r="O56" s="22"/>
      <c r="P56" s="22"/>
      <c r="Q56" s="22"/>
      <c r="R56" s="22"/>
      <c r="S56" s="2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O5:O6"/>
    <mergeCell ref="N10:P10"/>
    <mergeCell ref="Q10:S10"/>
    <mergeCell ref="Q5:Q6"/>
    <mergeCell ref="R5:R6"/>
    <mergeCell ref="S5:S6"/>
    <mergeCell ref="R7:R8"/>
    <mergeCell ref="S7:S8"/>
    <mergeCell ref="N9:S9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sheetPr codeName="Лист3"/>
  <dimension ref="A1:S1000"/>
  <sheetViews>
    <sheetView workbookViewId="0">
      <selection activeCell="I14" sqref="I14"/>
    </sheetView>
  </sheetViews>
  <sheetFormatPr defaultColWidth="14.42578125" defaultRowHeight="15" customHeight="1"/>
  <cols>
    <col min="1" max="1" width="10.140625" customWidth="1"/>
    <col min="2" max="8" width="8.7109375" customWidth="1"/>
    <col min="9" max="9" width="14" customWidth="1"/>
    <col min="10" max="10" width="15.5703125" customWidth="1"/>
    <col min="11" max="11" width="12.85546875" customWidth="1"/>
    <col min="12" max="13" width="8.7109375" customWidth="1"/>
    <col min="14" max="14" width="12" customWidth="1"/>
    <col min="15" max="15" width="11.5703125" customWidth="1"/>
    <col min="16" max="16" width="13.5703125" customWidth="1"/>
    <col min="17" max="17" width="12" customWidth="1"/>
    <col min="18" max="18" width="10.42578125" customWidth="1"/>
    <col min="19" max="19" width="12.7109375" customWidth="1"/>
    <col min="20" max="26" width="8.7109375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150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11</v>
      </c>
      <c r="B4" s="2" t="s">
        <v>25</v>
      </c>
      <c r="C4" s="500">
        <f>AVERAGEA(I7:I56)</f>
        <v>0.68312898851811177</v>
      </c>
      <c r="D4" s="501"/>
      <c r="E4" s="500">
        <f>AVERAGEA(J7:J56)</f>
        <v>10.545907559002416</v>
      </c>
      <c r="F4" s="501"/>
      <c r="G4" s="500">
        <f>AVERAGEA(K7:K56)</f>
        <v>1.371263802867291</v>
      </c>
      <c r="H4" s="501"/>
      <c r="I4" s="3">
        <f>C4*K2</f>
        <v>102.46934827771676</v>
      </c>
      <c r="J4" s="3">
        <f>I4*E4</f>
        <v>1080.6322745680243</v>
      </c>
      <c r="K4" s="3">
        <f>K2*G4</f>
        <v>205.68957043009365</v>
      </c>
    </row>
    <row r="5" spans="1:19" ht="15" customHeight="1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2"/>
      <c r="B6" s="492"/>
      <c r="C6" s="492"/>
      <c r="D6" s="492"/>
      <c r="E6" s="492"/>
      <c r="F6" s="4" t="s">
        <v>20</v>
      </c>
      <c r="G6" s="5" t="s">
        <v>21</v>
      </c>
      <c r="H6" s="492"/>
      <c r="I6" s="492"/>
      <c r="J6" s="492"/>
      <c r="K6" s="492"/>
      <c r="N6" s="492"/>
      <c r="O6" s="492"/>
      <c r="P6" s="492"/>
      <c r="Q6" s="492"/>
      <c r="R6" s="492"/>
      <c r="S6" s="492"/>
    </row>
    <row r="7" spans="1:19" ht="15.75">
      <c r="A7" s="11">
        <v>45567</v>
      </c>
      <c r="B7" s="12" t="s">
        <v>117</v>
      </c>
      <c r="C7" s="12" t="s">
        <v>65</v>
      </c>
      <c r="D7" s="12">
        <v>91</v>
      </c>
      <c r="E7" s="12">
        <v>6</v>
      </c>
      <c r="F7" s="12">
        <v>67</v>
      </c>
      <c r="G7" s="12">
        <v>746</v>
      </c>
      <c r="H7" s="12">
        <v>351</v>
      </c>
      <c r="I7" s="6">
        <f t="shared" ref="I7:I14" si="0">F7/(D7+E7)</f>
        <v>0.69072164948453607</v>
      </c>
      <c r="J7" s="6">
        <f t="shared" ref="J7:J14" si="1">G7/F7</f>
        <v>11.134328358208956</v>
      </c>
      <c r="K7" s="6">
        <f t="shared" ref="K7:K14" si="2">H7/(D7+E7)</f>
        <v>3.6185567010309279</v>
      </c>
      <c r="N7" s="13" t="s">
        <v>49</v>
      </c>
      <c r="O7" s="14">
        <f>K2</f>
        <v>150</v>
      </c>
      <c r="P7" s="15">
        <f>I4</f>
        <v>102.46934827771676</v>
      </c>
      <c r="Q7" s="15">
        <f>J4</f>
        <v>1080.6322745680243</v>
      </c>
      <c r="R7" s="493">
        <f>Q7/P7</f>
        <v>10.545907559002416</v>
      </c>
      <c r="S7" s="493">
        <f>P7/O7</f>
        <v>0.68312898851811177</v>
      </c>
    </row>
    <row r="8" spans="1:19" ht="15.75">
      <c r="A8" s="11">
        <v>45570</v>
      </c>
      <c r="B8" s="12" t="s">
        <v>117</v>
      </c>
      <c r="C8" s="12" t="s">
        <v>65</v>
      </c>
      <c r="D8" s="12">
        <v>108</v>
      </c>
      <c r="E8" s="12">
        <v>0</v>
      </c>
      <c r="F8" s="12">
        <v>82</v>
      </c>
      <c r="G8" s="12">
        <v>850</v>
      </c>
      <c r="H8" s="12">
        <v>130</v>
      </c>
      <c r="I8" s="6">
        <f t="shared" si="0"/>
        <v>0.7592592592592593</v>
      </c>
      <c r="J8" s="6">
        <f t="shared" si="1"/>
        <v>10.365853658536585</v>
      </c>
      <c r="K8" s="6">
        <f t="shared" si="2"/>
        <v>1.2037037037037037</v>
      </c>
      <c r="N8" s="13" t="s">
        <v>50</v>
      </c>
      <c r="O8" s="14">
        <f>O7</f>
        <v>150</v>
      </c>
      <c r="P8" s="16">
        <f>O8*S7</f>
        <v>102.46934827771676</v>
      </c>
      <c r="Q8" s="16">
        <f>P8*R7</f>
        <v>1080.6322745680243</v>
      </c>
      <c r="R8" s="492"/>
      <c r="S8" s="492"/>
    </row>
    <row r="9" spans="1:19">
      <c r="A9" s="11">
        <v>45574</v>
      </c>
      <c r="B9" s="12" t="s">
        <v>117</v>
      </c>
      <c r="C9" s="12" t="s">
        <v>65</v>
      </c>
      <c r="D9" s="12">
        <v>92</v>
      </c>
      <c r="E9" s="12">
        <v>1</v>
      </c>
      <c r="F9" s="12">
        <v>64</v>
      </c>
      <c r="G9" s="12">
        <v>727</v>
      </c>
      <c r="H9" s="12">
        <v>38</v>
      </c>
      <c r="I9" s="6">
        <f t="shared" si="0"/>
        <v>0.68817204301075274</v>
      </c>
      <c r="J9" s="6">
        <f t="shared" si="1"/>
        <v>11.359375</v>
      </c>
      <c r="K9" s="6">
        <f t="shared" si="2"/>
        <v>0.40860215053763443</v>
      </c>
      <c r="N9" s="494" t="s">
        <v>51</v>
      </c>
      <c r="O9" s="495"/>
      <c r="P9" s="495"/>
      <c r="Q9" s="495"/>
      <c r="R9" s="495"/>
      <c r="S9" s="496"/>
    </row>
    <row r="10" spans="1:19">
      <c r="A10" s="11">
        <v>45577</v>
      </c>
      <c r="B10" s="12" t="s">
        <v>117</v>
      </c>
      <c r="C10" s="12" t="s">
        <v>65</v>
      </c>
      <c r="D10" s="12">
        <v>83</v>
      </c>
      <c r="E10" s="12">
        <v>9</v>
      </c>
      <c r="F10" s="12">
        <v>63</v>
      </c>
      <c r="G10" s="12">
        <v>699</v>
      </c>
      <c r="H10" s="12">
        <v>69</v>
      </c>
      <c r="I10" s="6">
        <f t="shared" si="0"/>
        <v>0.68478260869565222</v>
      </c>
      <c r="J10" s="6">
        <f t="shared" si="1"/>
        <v>11.095238095238095</v>
      </c>
      <c r="K10" s="6">
        <f t="shared" si="2"/>
        <v>0.75</v>
      </c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11">
        <v>45581</v>
      </c>
      <c r="B11" s="12" t="s">
        <v>117</v>
      </c>
      <c r="C11" s="12" t="s">
        <v>65</v>
      </c>
      <c r="D11" s="12">
        <v>69</v>
      </c>
      <c r="E11" s="12">
        <v>4</v>
      </c>
      <c r="F11" s="12">
        <v>46</v>
      </c>
      <c r="G11" s="12">
        <v>456</v>
      </c>
      <c r="H11" s="12">
        <v>5</v>
      </c>
      <c r="I11" s="6">
        <f t="shared" si="0"/>
        <v>0.63013698630136983</v>
      </c>
      <c r="J11" s="6">
        <f t="shared" si="1"/>
        <v>9.9130434782608692</v>
      </c>
      <c r="K11" s="6">
        <f t="shared" si="2"/>
        <v>6.8493150684931503E-2</v>
      </c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11">
        <v>45584</v>
      </c>
      <c r="B12" s="12" t="s">
        <v>117</v>
      </c>
      <c r="C12" s="12" t="s">
        <v>65</v>
      </c>
      <c r="D12" s="12">
        <v>97</v>
      </c>
      <c r="E12" s="12">
        <v>9</v>
      </c>
      <c r="F12" s="12">
        <v>74</v>
      </c>
      <c r="G12" s="12">
        <v>736</v>
      </c>
      <c r="H12" s="12">
        <v>246</v>
      </c>
      <c r="I12" s="6">
        <f t="shared" si="0"/>
        <v>0.69811320754716977</v>
      </c>
      <c r="J12" s="6">
        <f t="shared" si="1"/>
        <v>9.9459459459459456</v>
      </c>
      <c r="K12" s="6">
        <f t="shared" si="2"/>
        <v>2.3207547169811322</v>
      </c>
      <c r="N12" s="17">
        <v>1</v>
      </c>
      <c r="O12" s="18">
        <v>0</v>
      </c>
      <c r="P12" s="19">
        <f>O12*R7</f>
        <v>0</v>
      </c>
      <c r="Q12" s="17">
        <v>3</v>
      </c>
      <c r="R12" s="18">
        <v>35</v>
      </c>
      <c r="S12" s="19">
        <f>R12*R7</f>
        <v>369.10676456508452</v>
      </c>
    </row>
    <row r="13" spans="1:19" ht="15.75">
      <c r="A13" s="11">
        <v>45588</v>
      </c>
      <c r="B13" s="12" t="s">
        <v>117</v>
      </c>
      <c r="C13" s="12" t="s">
        <v>65</v>
      </c>
      <c r="D13" s="12">
        <v>100</v>
      </c>
      <c r="E13" s="12">
        <v>4</v>
      </c>
      <c r="F13" s="12">
        <v>68</v>
      </c>
      <c r="G13" s="12">
        <v>628</v>
      </c>
      <c r="H13" s="12">
        <v>156</v>
      </c>
      <c r="I13" s="6">
        <f t="shared" si="0"/>
        <v>0.65384615384615385</v>
      </c>
      <c r="J13" s="6">
        <f t="shared" si="1"/>
        <v>9.235294117647058</v>
      </c>
      <c r="K13" s="6">
        <f t="shared" si="2"/>
        <v>1.5</v>
      </c>
      <c r="N13" s="17">
        <v>2</v>
      </c>
      <c r="O13" s="18">
        <v>0</v>
      </c>
      <c r="P13" s="19">
        <f>O13*R7</f>
        <v>0</v>
      </c>
      <c r="Q13" s="17">
        <v>4</v>
      </c>
      <c r="R13" s="18">
        <v>18</v>
      </c>
      <c r="S13" s="19">
        <f>R7*R13</f>
        <v>189.82633606204348</v>
      </c>
    </row>
    <row r="14" spans="1:19" ht="15.75">
      <c r="A14" s="11">
        <v>45591</v>
      </c>
      <c r="B14" s="12" t="s">
        <v>117</v>
      </c>
      <c r="C14" s="12" t="s">
        <v>65</v>
      </c>
      <c r="D14" s="12">
        <v>94</v>
      </c>
      <c r="E14" s="12">
        <v>6</v>
      </c>
      <c r="F14" s="12">
        <v>66</v>
      </c>
      <c r="G14" s="12">
        <v>747</v>
      </c>
      <c r="H14" s="12">
        <v>110</v>
      </c>
      <c r="I14" s="6">
        <f t="shared" si="0"/>
        <v>0.66</v>
      </c>
      <c r="J14" s="6">
        <f t="shared" si="1"/>
        <v>11.318181818181818</v>
      </c>
      <c r="K14" s="6">
        <f t="shared" si="2"/>
        <v>1.1000000000000001</v>
      </c>
      <c r="N14" s="17">
        <v>3</v>
      </c>
      <c r="O14" s="18">
        <v>1</v>
      </c>
      <c r="P14" s="19">
        <f>R7*O14</f>
        <v>10.545907559002416</v>
      </c>
      <c r="Q14" s="17">
        <v>5</v>
      </c>
      <c r="R14" s="18">
        <v>0</v>
      </c>
      <c r="S14" s="19">
        <f>R14*R7</f>
        <v>0</v>
      </c>
    </row>
    <row r="15" spans="1:19" ht="15.75">
      <c r="A15" s="11"/>
      <c r="B15" s="12"/>
      <c r="C15" s="12"/>
      <c r="D15" s="12"/>
      <c r="E15" s="12"/>
      <c r="F15" s="12"/>
      <c r="G15" s="12"/>
      <c r="H15" s="12"/>
      <c r="I15" s="6"/>
      <c r="J15" s="6"/>
      <c r="K15" s="6"/>
      <c r="N15" s="17">
        <v>4</v>
      </c>
      <c r="O15" s="18">
        <v>0</v>
      </c>
      <c r="P15" s="19">
        <f>R7*O15</f>
        <v>0</v>
      </c>
      <c r="Q15" s="17">
        <v>1</v>
      </c>
      <c r="R15" s="18">
        <v>0</v>
      </c>
      <c r="S15" s="19">
        <f>R7*R15</f>
        <v>0</v>
      </c>
    </row>
    <row r="16" spans="1:19" ht="15.75">
      <c r="A16" s="11"/>
      <c r="B16" s="12"/>
      <c r="C16" s="12"/>
      <c r="D16" s="12"/>
      <c r="E16" s="12"/>
      <c r="F16" s="12"/>
      <c r="G16" s="12"/>
      <c r="H16" s="12"/>
      <c r="I16" s="6"/>
      <c r="J16" s="6"/>
      <c r="K16" s="6"/>
      <c r="N16" s="17">
        <v>5</v>
      </c>
      <c r="O16" s="18">
        <v>0</v>
      </c>
      <c r="P16" s="19">
        <f>R7*O16</f>
        <v>0</v>
      </c>
      <c r="Q16" s="17"/>
      <c r="R16" s="18">
        <v>0</v>
      </c>
      <c r="S16" s="19">
        <f>R7*R16</f>
        <v>0</v>
      </c>
    </row>
    <row r="17" spans="1:19" ht="15.75">
      <c r="A17" s="11"/>
      <c r="B17" s="12"/>
      <c r="C17" s="12"/>
      <c r="D17" s="12"/>
      <c r="E17" s="12"/>
      <c r="F17" s="12"/>
      <c r="G17" s="12"/>
      <c r="H17" s="12"/>
      <c r="I17" s="6"/>
      <c r="J17" s="6"/>
      <c r="K17" s="6"/>
      <c r="N17" s="17">
        <v>6</v>
      </c>
      <c r="O17" s="18">
        <v>0</v>
      </c>
      <c r="P17" s="19">
        <f>R7*O17</f>
        <v>0</v>
      </c>
      <c r="Q17" s="17"/>
      <c r="R17" s="18">
        <v>0</v>
      </c>
      <c r="S17" s="19">
        <f>R7*R17</f>
        <v>0</v>
      </c>
    </row>
    <row r="18" spans="1:19" ht="15.75">
      <c r="A18" s="11"/>
      <c r="B18" s="12"/>
      <c r="C18" s="12"/>
      <c r="D18" s="12"/>
      <c r="E18" s="12"/>
      <c r="F18" s="12"/>
      <c r="G18" s="12"/>
      <c r="H18" s="12"/>
      <c r="I18" s="6"/>
      <c r="J18" s="6"/>
      <c r="K18" s="6"/>
      <c r="N18" s="17">
        <v>7</v>
      </c>
      <c r="O18" s="18">
        <v>0</v>
      </c>
      <c r="P18" s="19">
        <f>R7*O18</f>
        <v>0</v>
      </c>
      <c r="Q18" s="17"/>
      <c r="R18" s="18">
        <v>0</v>
      </c>
      <c r="S18" s="19">
        <f>R7*R18</f>
        <v>0</v>
      </c>
    </row>
    <row r="19" spans="1:19" ht="15.75">
      <c r="A19" s="11"/>
      <c r="B19" s="12"/>
      <c r="C19" s="12"/>
      <c r="D19" s="12"/>
      <c r="E19" s="12"/>
      <c r="F19" s="12"/>
      <c r="G19" s="12"/>
      <c r="H19" s="12"/>
      <c r="I19" s="6"/>
      <c r="J19" s="6"/>
      <c r="K19" s="6"/>
      <c r="N19" s="17">
        <v>8</v>
      </c>
      <c r="O19" s="18">
        <v>30</v>
      </c>
      <c r="P19" s="19">
        <f>R7*O19</f>
        <v>316.37722677007247</v>
      </c>
      <c r="Q19" s="17"/>
      <c r="R19" s="18">
        <v>0</v>
      </c>
      <c r="S19" s="19">
        <f>R7*R19</f>
        <v>0</v>
      </c>
    </row>
    <row r="20" spans="1:19" ht="15.75">
      <c r="A20" s="11"/>
      <c r="B20" s="12"/>
      <c r="C20" s="12"/>
      <c r="D20" s="12"/>
      <c r="E20" s="12"/>
      <c r="F20" s="12"/>
      <c r="G20" s="12"/>
      <c r="H20" s="12"/>
      <c r="I20" s="6"/>
      <c r="J20" s="6"/>
      <c r="K20" s="6"/>
      <c r="N20" s="17">
        <v>9</v>
      </c>
      <c r="O20" s="18">
        <v>50</v>
      </c>
      <c r="P20" s="19">
        <f>R7*O20</f>
        <v>527.29537795012084</v>
      </c>
      <c r="Q20" s="17"/>
      <c r="R20" s="18">
        <v>0</v>
      </c>
      <c r="S20" s="19">
        <f>R7*R20</f>
        <v>0</v>
      </c>
    </row>
    <row r="21" spans="1:19" ht="15.75" customHeight="1">
      <c r="A21" s="11"/>
      <c r="B21" s="12"/>
      <c r="C21" s="12"/>
      <c r="D21" s="12"/>
      <c r="E21" s="12"/>
      <c r="F21" s="12"/>
      <c r="G21" s="12"/>
      <c r="H21" s="12"/>
      <c r="I21" s="6"/>
      <c r="J21" s="6"/>
      <c r="K21" s="6"/>
      <c r="N21" s="20" t="s">
        <v>53</v>
      </c>
      <c r="O21" s="18">
        <v>50</v>
      </c>
      <c r="P21" s="19">
        <f>R7*O21</f>
        <v>527.29537795012084</v>
      </c>
      <c r="Q21" s="17"/>
      <c r="R21" s="18"/>
      <c r="S21" s="19">
        <f>R7*R21</f>
        <v>0</v>
      </c>
    </row>
    <row r="22" spans="1:19" ht="15.75" customHeight="1">
      <c r="A22" s="11"/>
      <c r="B22" s="12"/>
      <c r="C22" s="12"/>
      <c r="D22" s="12"/>
      <c r="E22" s="12"/>
      <c r="F22" s="12"/>
      <c r="G22" s="12"/>
      <c r="H22" s="12"/>
      <c r="I22" s="6"/>
      <c r="J22" s="6"/>
      <c r="K22" s="6"/>
      <c r="N22" s="13" t="s">
        <v>59</v>
      </c>
      <c r="O22" s="21">
        <f>P8-O12-O13-O14-O15-O16-O17-O18-O19-O20-O21</f>
        <v>-28.530651722283238</v>
      </c>
      <c r="P22" s="21">
        <f>Q8-P12-P13-P14-P15-P16-P17-P18-P19-P20-P21</f>
        <v>-300.88161566129224</v>
      </c>
      <c r="Q22" s="13" t="s">
        <v>59</v>
      </c>
      <c r="R22" s="21">
        <f>P8-R12-R13-R14-R15-R16-R17-R18-R19-R20-R21</f>
        <v>49.469348277716762</v>
      </c>
      <c r="S22" s="21">
        <f>Q8-S12-S13-S14-S15-S16-S17-S18-S19-S20-S21</f>
        <v>521.69917394089634</v>
      </c>
    </row>
    <row r="23" spans="1:19" ht="15.75" customHeight="1">
      <c r="A23" s="11"/>
      <c r="B23" s="12"/>
      <c r="C23" s="12"/>
      <c r="D23" s="12"/>
      <c r="E23" s="12"/>
      <c r="F23" s="12"/>
      <c r="G23" s="12"/>
      <c r="H23" s="12"/>
      <c r="I23" s="6"/>
      <c r="J23" s="6"/>
      <c r="K23" s="6"/>
      <c r="N23" s="13" t="s">
        <v>60</v>
      </c>
      <c r="O23" s="16">
        <f>O12+O13+O14+O15+O16+O17+O18+O19+O20+O21</f>
        <v>131</v>
      </c>
      <c r="P23" s="16">
        <f>P12+P13+P14+P15+P16+P17+P18+P19+P20+P21</f>
        <v>1381.5138902293165</v>
      </c>
      <c r="Q23" s="13" t="s">
        <v>60</v>
      </c>
      <c r="R23" s="16">
        <f>R12+R13+R14+R15+R16+R17+R18+R19+R20+R21</f>
        <v>53</v>
      </c>
      <c r="S23" s="16">
        <f>S12+S13+S14+S15+S16+S17+S18+S19+S20+S21</f>
        <v>558.93310062712794</v>
      </c>
    </row>
    <row r="24" spans="1:19" ht="15.75" customHeight="1">
      <c r="A24" s="11"/>
      <c r="B24" s="12"/>
      <c r="C24" s="12"/>
      <c r="D24" s="12"/>
      <c r="E24" s="12"/>
      <c r="F24" s="12"/>
      <c r="G24" s="12"/>
      <c r="H24" s="12"/>
      <c r="I24" s="6"/>
      <c r="J24" s="9"/>
      <c r="K24" s="9"/>
    </row>
    <row r="25" spans="1:19" ht="15.75" customHeight="1">
      <c r="A25" s="11"/>
      <c r="B25" s="12"/>
      <c r="C25" s="12"/>
      <c r="D25" s="12"/>
      <c r="E25" s="12"/>
      <c r="F25" s="12"/>
      <c r="G25" s="12"/>
      <c r="H25" s="12"/>
      <c r="I25" s="6"/>
      <c r="J25" s="9"/>
      <c r="K25" s="9"/>
    </row>
    <row r="26" spans="1:19" ht="15.75" customHeight="1">
      <c r="A26" s="11"/>
      <c r="B26" s="12"/>
      <c r="C26" s="12"/>
      <c r="D26" s="12"/>
      <c r="E26" s="12"/>
      <c r="F26" s="12"/>
      <c r="G26" s="12"/>
      <c r="H26" s="12"/>
      <c r="I26" s="6"/>
      <c r="J26" s="9"/>
      <c r="K26" s="9"/>
    </row>
    <row r="27" spans="1:19" ht="15.75" customHeight="1">
      <c r="A27" s="11"/>
      <c r="B27" s="12"/>
      <c r="C27" s="12"/>
      <c r="D27" s="12"/>
      <c r="E27" s="12"/>
      <c r="F27" s="12"/>
      <c r="G27" s="12"/>
      <c r="H27" s="12"/>
      <c r="I27" s="6"/>
      <c r="J27" s="9"/>
      <c r="K27" s="9"/>
    </row>
    <row r="28" spans="1:19" ht="15.75" customHeight="1">
      <c r="A28" s="11"/>
      <c r="B28" s="12"/>
      <c r="C28" s="12"/>
      <c r="D28" s="12"/>
      <c r="E28" s="12"/>
      <c r="F28" s="12"/>
      <c r="G28" s="12"/>
      <c r="H28" s="12"/>
      <c r="I28" s="6"/>
      <c r="J28" s="9"/>
      <c r="K28" s="9"/>
    </row>
    <row r="29" spans="1:19" ht="15.75" customHeight="1">
      <c r="A29" s="11"/>
      <c r="B29" s="12"/>
      <c r="C29" s="12"/>
      <c r="D29" s="12"/>
      <c r="E29" s="12"/>
      <c r="F29" s="12"/>
      <c r="G29" s="12"/>
      <c r="H29" s="12"/>
      <c r="I29" s="6"/>
      <c r="J29" s="9"/>
      <c r="K29" s="9"/>
    </row>
    <row r="30" spans="1:19" ht="15.75" customHeight="1">
      <c r="A30" s="11"/>
      <c r="B30" s="12"/>
      <c r="C30" s="12"/>
      <c r="D30" s="12"/>
      <c r="E30" s="12"/>
      <c r="F30" s="12"/>
      <c r="G30" s="12"/>
      <c r="H30" s="12"/>
      <c r="I30" s="6"/>
      <c r="J30" s="9"/>
      <c r="K30" s="9"/>
    </row>
    <row r="31" spans="1:19" ht="15.75" customHeight="1">
      <c r="A31" s="11"/>
      <c r="B31" s="12"/>
      <c r="C31" s="12"/>
      <c r="D31" s="12"/>
      <c r="E31" s="12"/>
      <c r="F31" s="12"/>
      <c r="G31" s="12"/>
      <c r="H31" s="12"/>
      <c r="I31" s="6"/>
      <c r="J31" s="9"/>
      <c r="K31" s="9"/>
    </row>
    <row r="32" spans="1:19" ht="15.75" customHeight="1">
      <c r="A32" s="11"/>
      <c r="B32" s="12"/>
      <c r="C32" s="12"/>
      <c r="D32" s="12"/>
      <c r="E32" s="12"/>
      <c r="F32" s="12"/>
      <c r="G32" s="12"/>
      <c r="H32" s="12"/>
      <c r="I32" s="6"/>
      <c r="J32" s="9"/>
      <c r="K32" s="9"/>
    </row>
    <row r="33" spans="1:11" ht="15.75" customHeight="1">
      <c r="A33" s="11"/>
      <c r="B33" s="12"/>
      <c r="C33" s="12"/>
      <c r="D33" s="12"/>
      <c r="E33" s="12"/>
      <c r="F33" s="12"/>
      <c r="G33" s="12"/>
      <c r="H33" s="12"/>
      <c r="I33" s="6"/>
      <c r="J33" s="9"/>
      <c r="K33" s="9"/>
    </row>
    <row r="34" spans="1:11" ht="15.75" customHeight="1">
      <c r="A34" s="11"/>
      <c r="B34" s="12"/>
      <c r="C34" s="12"/>
      <c r="D34" s="12"/>
      <c r="E34" s="12"/>
      <c r="F34" s="12"/>
      <c r="G34" s="12"/>
      <c r="H34" s="12"/>
      <c r="I34" s="6"/>
      <c r="J34" s="9"/>
      <c r="K34" s="9"/>
    </row>
    <row r="35" spans="1:11" ht="15.75" customHeight="1">
      <c r="A35" s="11"/>
      <c r="B35" s="12"/>
      <c r="C35" s="12"/>
      <c r="D35" s="12"/>
      <c r="E35" s="12"/>
      <c r="F35" s="12"/>
      <c r="G35" s="12"/>
      <c r="H35" s="12"/>
      <c r="I35" s="6"/>
      <c r="J35" s="9"/>
      <c r="K35" s="9"/>
    </row>
    <row r="36" spans="1:11" ht="15.75" customHeight="1">
      <c r="A36" s="11"/>
      <c r="B36" s="12"/>
      <c r="C36" s="12"/>
      <c r="D36" s="12"/>
      <c r="E36" s="12"/>
      <c r="F36" s="12"/>
      <c r="G36" s="12"/>
      <c r="H36" s="12"/>
      <c r="I36" s="6"/>
      <c r="J36" s="9"/>
      <c r="K36" s="9"/>
    </row>
    <row r="37" spans="1:11" ht="15.75" customHeight="1">
      <c r="A37" s="11"/>
      <c r="B37" s="12"/>
      <c r="C37" s="12"/>
      <c r="D37" s="12"/>
      <c r="E37" s="12"/>
      <c r="F37" s="12"/>
      <c r="G37" s="12"/>
      <c r="H37" s="12"/>
      <c r="I37" s="6"/>
      <c r="J37" s="9"/>
      <c r="K37" s="9"/>
    </row>
    <row r="38" spans="1:11" ht="15.75" customHeight="1">
      <c r="A38" s="8"/>
      <c r="B38" s="7"/>
      <c r="C38" s="7"/>
      <c r="D38" s="7"/>
      <c r="E38" s="7"/>
      <c r="F38" s="7"/>
      <c r="G38" s="7"/>
      <c r="H38" s="7"/>
      <c r="I38" s="6"/>
      <c r="J38" s="9"/>
      <c r="K38" s="9"/>
    </row>
    <row r="39" spans="1:11" ht="15.75" customHeight="1">
      <c r="A39" s="8"/>
      <c r="B39" s="7"/>
      <c r="C39" s="7"/>
      <c r="D39" s="7"/>
      <c r="E39" s="7"/>
      <c r="F39" s="7"/>
      <c r="G39" s="7"/>
      <c r="H39" s="7"/>
      <c r="I39" s="6"/>
      <c r="J39" s="9"/>
      <c r="K39" s="9"/>
    </row>
    <row r="40" spans="1:11" ht="15.75" customHeight="1">
      <c r="A40" s="8"/>
      <c r="B40" s="7"/>
      <c r="C40" s="7"/>
      <c r="D40" s="7"/>
      <c r="E40" s="7"/>
      <c r="F40" s="7"/>
      <c r="G40" s="7"/>
      <c r="H40" s="7"/>
      <c r="I40" s="6"/>
      <c r="J40" s="9"/>
      <c r="K40" s="9"/>
    </row>
    <row r="41" spans="1:11" ht="15.75" customHeight="1">
      <c r="A41" s="8"/>
      <c r="B41" s="7"/>
      <c r="C41" s="7"/>
      <c r="D41" s="7"/>
      <c r="E41" s="7"/>
      <c r="F41" s="7"/>
      <c r="G41" s="7"/>
      <c r="H41" s="7"/>
      <c r="I41" s="6"/>
      <c r="J41" s="9"/>
      <c r="K41" s="9"/>
    </row>
    <row r="42" spans="1:11" ht="15.75" customHeight="1">
      <c r="A42" s="8"/>
      <c r="B42" s="7"/>
      <c r="C42" s="7"/>
      <c r="D42" s="7"/>
      <c r="E42" s="7"/>
      <c r="F42" s="7"/>
      <c r="G42" s="7"/>
      <c r="H42" s="7"/>
      <c r="I42" s="6"/>
      <c r="J42" s="9"/>
      <c r="K42" s="9"/>
    </row>
    <row r="43" spans="1:11" ht="15.75" customHeight="1">
      <c r="A43" s="8"/>
      <c r="B43" s="7"/>
      <c r="C43" s="7"/>
      <c r="D43" s="7"/>
      <c r="E43" s="7"/>
      <c r="F43" s="7"/>
      <c r="G43" s="7"/>
      <c r="H43" s="7"/>
      <c r="I43" s="6"/>
      <c r="J43" s="9"/>
      <c r="K43" s="9"/>
    </row>
    <row r="44" spans="1:11" ht="15.75" customHeight="1">
      <c r="A44" s="8"/>
      <c r="B44" s="7"/>
      <c r="C44" s="7"/>
      <c r="D44" s="7"/>
      <c r="E44" s="7"/>
      <c r="F44" s="7"/>
      <c r="G44" s="7"/>
      <c r="H44" s="7"/>
      <c r="I44" s="6"/>
      <c r="J44" s="9"/>
      <c r="K44" s="9"/>
    </row>
    <row r="45" spans="1:11" ht="15.75" customHeight="1">
      <c r="A45" s="8"/>
      <c r="B45" s="7"/>
      <c r="C45" s="7"/>
      <c r="D45" s="7"/>
      <c r="E45" s="7"/>
      <c r="F45" s="7"/>
      <c r="G45" s="7"/>
      <c r="H45" s="7"/>
      <c r="I45" s="9"/>
      <c r="J45" s="9"/>
      <c r="K45" s="9"/>
    </row>
    <row r="46" spans="1:11" ht="15.75" customHeight="1">
      <c r="A46" s="8"/>
      <c r="B46" s="7"/>
      <c r="C46" s="7"/>
      <c r="D46" s="7"/>
      <c r="E46" s="7"/>
      <c r="F46" s="7"/>
      <c r="G46" s="7"/>
      <c r="H46" s="7"/>
      <c r="I46" s="9"/>
      <c r="J46" s="9"/>
      <c r="K46" s="9"/>
    </row>
    <row r="47" spans="1:11" ht="15.75" customHeight="1">
      <c r="A47" s="8"/>
      <c r="B47" s="7"/>
      <c r="C47" s="7"/>
      <c r="D47" s="7"/>
      <c r="E47" s="7"/>
      <c r="F47" s="7"/>
      <c r="G47" s="7"/>
      <c r="H47" s="7"/>
      <c r="I47" s="9"/>
      <c r="J47" s="9"/>
      <c r="K47" s="9"/>
    </row>
    <row r="48" spans="1:11" ht="15.75" customHeight="1">
      <c r="A48" s="8"/>
      <c r="B48" s="7"/>
      <c r="C48" s="7"/>
      <c r="D48" s="7"/>
      <c r="E48" s="7"/>
      <c r="F48" s="7"/>
      <c r="G48" s="7"/>
      <c r="H48" s="7"/>
      <c r="I48" s="9"/>
      <c r="J48" s="9"/>
      <c r="K48" s="9"/>
    </row>
    <row r="49" spans="1:19" ht="15.75" customHeight="1">
      <c r="A49" s="8"/>
      <c r="B49" s="7"/>
      <c r="C49" s="7"/>
      <c r="D49" s="7"/>
      <c r="E49" s="7"/>
      <c r="F49" s="7"/>
      <c r="G49" s="7"/>
      <c r="H49" s="7"/>
      <c r="I49" s="9"/>
      <c r="J49" s="9"/>
      <c r="K49" s="9"/>
    </row>
    <row r="50" spans="1:19" ht="15.75" customHeight="1">
      <c r="A50" s="8"/>
      <c r="B50" s="7"/>
      <c r="C50" s="7"/>
      <c r="D50" s="7"/>
      <c r="E50" s="7"/>
      <c r="F50" s="7"/>
      <c r="G50" s="7"/>
      <c r="H50" s="7"/>
      <c r="I50" s="9"/>
      <c r="J50" s="9"/>
      <c r="K50" s="9"/>
    </row>
    <row r="51" spans="1:19" ht="15.75" customHeight="1">
      <c r="A51" s="8"/>
      <c r="B51" s="7"/>
      <c r="C51" s="7"/>
      <c r="D51" s="7"/>
      <c r="E51" s="7"/>
      <c r="F51" s="7"/>
      <c r="G51" s="7"/>
      <c r="H51" s="7"/>
      <c r="I51" s="9"/>
      <c r="J51" s="9"/>
      <c r="K51" s="9"/>
    </row>
    <row r="52" spans="1:19" ht="15.75" customHeight="1">
      <c r="A52" s="8"/>
      <c r="B52" s="7"/>
      <c r="C52" s="7"/>
      <c r="D52" s="7"/>
      <c r="E52" s="7"/>
      <c r="F52" s="7"/>
      <c r="G52" s="7"/>
      <c r="H52" s="7"/>
      <c r="I52" s="9"/>
      <c r="J52" s="9"/>
      <c r="K52" s="9"/>
    </row>
    <row r="53" spans="1:19" ht="15.75" customHeight="1">
      <c r="A53" s="8"/>
      <c r="B53" s="7"/>
      <c r="C53" s="7"/>
      <c r="D53" s="7"/>
      <c r="E53" s="7"/>
      <c r="F53" s="7"/>
      <c r="G53" s="7"/>
      <c r="H53" s="7"/>
      <c r="I53" s="9"/>
      <c r="J53" s="9"/>
      <c r="K53" s="9"/>
    </row>
    <row r="54" spans="1:19" ht="15.75" customHeight="1">
      <c r="A54" s="8"/>
      <c r="B54" s="7"/>
      <c r="C54" s="7"/>
      <c r="D54" s="7"/>
      <c r="E54" s="7"/>
      <c r="F54" s="7"/>
      <c r="G54" s="7"/>
      <c r="H54" s="7"/>
      <c r="I54" s="9"/>
      <c r="J54" s="9"/>
      <c r="K54" s="9"/>
    </row>
    <row r="55" spans="1:19" ht="15.75" customHeight="1">
      <c r="A55" s="7"/>
      <c r="B55" s="7"/>
      <c r="C55" s="7"/>
      <c r="D55" s="7"/>
      <c r="E55" s="7"/>
      <c r="F55" s="7"/>
      <c r="G55" s="7"/>
      <c r="H55" s="7"/>
      <c r="I55" s="9"/>
      <c r="J55" s="9"/>
      <c r="K55" s="9"/>
      <c r="N55" s="7"/>
      <c r="O55" s="7"/>
      <c r="P55" s="7"/>
      <c r="Q55" s="7"/>
      <c r="R55" s="7"/>
      <c r="S55" s="7"/>
    </row>
    <row r="56" spans="1:19" ht="15.75" customHeight="1">
      <c r="A56" s="7"/>
      <c r="B56" s="7"/>
      <c r="C56" s="7"/>
      <c r="D56" s="7"/>
      <c r="E56" s="7"/>
      <c r="F56" s="7"/>
      <c r="G56" s="7"/>
      <c r="H56" s="7"/>
      <c r="I56" s="6"/>
      <c r="J56" s="9"/>
      <c r="K56" s="9"/>
      <c r="N56" s="22"/>
      <c r="O56" s="22"/>
      <c r="P56" s="22"/>
      <c r="Q56" s="22"/>
      <c r="R56" s="22"/>
      <c r="S56" s="22"/>
    </row>
    <row r="57" spans="1:19" ht="15.75" customHeight="1">
      <c r="I57" s="10"/>
    </row>
    <row r="58" spans="1:19" ht="15.75" customHeight="1"/>
    <row r="59" spans="1:19" ht="15.75" customHeight="1"/>
    <row r="60" spans="1:19" ht="15.75" customHeight="1"/>
    <row r="61" spans="1:19" ht="15.75" customHeight="1"/>
    <row r="62" spans="1:19" ht="15.75" customHeight="1"/>
    <row r="63" spans="1:19" ht="15.75" customHeight="1"/>
    <row r="64" spans="1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G3:H3"/>
    <mergeCell ref="C3:D3"/>
    <mergeCell ref="E3:F3"/>
    <mergeCell ref="A5:A6"/>
    <mergeCell ref="B5:B6"/>
    <mergeCell ref="C5:C6"/>
    <mergeCell ref="D5:D6"/>
    <mergeCell ref="E5:E6"/>
    <mergeCell ref="I5:I6"/>
    <mergeCell ref="J5:J6"/>
    <mergeCell ref="K5:K6"/>
    <mergeCell ref="C4:D4"/>
    <mergeCell ref="E4:F4"/>
    <mergeCell ref="G4:H4"/>
    <mergeCell ref="F5:G5"/>
    <mergeCell ref="H5:H6"/>
    <mergeCell ref="N9:S9"/>
    <mergeCell ref="N10:P10"/>
    <mergeCell ref="Q10:S10"/>
    <mergeCell ref="Q5:Q6"/>
    <mergeCell ref="R5:R6"/>
    <mergeCell ref="S5:S6"/>
    <mergeCell ref="R7:R8"/>
    <mergeCell ref="S7:S8"/>
    <mergeCell ref="N5:N6"/>
    <mergeCell ref="O5:O6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sheetPr codeName="Лист25"/>
  <dimension ref="A1:S23"/>
  <sheetViews>
    <sheetView workbookViewId="0">
      <selection activeCell="K10" sqref="K10"/>
    </sheetView>
  </sheetViews>
  <sheetFormatPr defaultRowHeight="15"/>
  <cols>
    <col min="1" max="1" width="10.140625" bestFit="1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108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11</v>
      </c>
      <c r="B4" s="2" t="s">
        <v>64</v>
      </c>
      <c r="C4" s="500">
        <f>AVERAGEA(I7:I40)</f>
        <v>0.9139620504106486</v>
      </c>
      <c r="D4" s="501"/>
      <c r="E4" s="500">
        <f>AVERAGEA(J7:J40)</f>
        <v>11.768496296634273</v>
      </c>
      <c r="F4" s="501"/>
      <c r="G4" s="500">
        <f>AVERAGEA(K7:K40)</f>
        <v>0.79722458227131121</v>
      </c>
      <c r="H4" s="501"/>
      <c r="I4" s="3">
        <f>C4*K2</f>
        <v>98.707901444350043</v>
      </c>
      <c r="J4" s="3">
        <f>I4*E4</f>
        <v>1161.6435725963743</v>
      </c>
      <c r="K4" s="3">
        <f>K2*G4</f>
        <v>86.100254885301609</v>
      </c>
    </row>
    <row r="5" spans="1:19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  <c r="N6" s="492"/>
      <c r="O6" s="492"/>
      <c r="P6" s="492"/>
      <c r="Q6" s="492"/>
      <c r="R6" s="492"/>
      <c r="S6" s="492"/>
    </row>
    <row r="7" spans="1:19" ht="15.75">
      <c r="A7" s="28">
        <v>45717</v>
      </c>
      <c r="B7" s="29" t="s">
        <v>114</v>
      </c>
      <c r="C7" s="29" t="s">
        <v>65</v>
      </c>
      <c r="D7" s="29">
        <v>104</v>
      </c>
      <c r="E7" s="29">
        <v>3</v>
      </c>
      <c r="F7" s="29">
        <v>93</v>
      </c>
      <c r="G7" s="29">
        <v>1138</v>
      </c>
      <c r="H7" s="29">
        <v>110</v>
      </c>
      <c r="I7" s="25">
        <f>F7/(D7+E7)</f>
        <v>0.86915887850467288</v>
      </c>
      <c r="J7" s="25">
        <f>G7/F7</f>
        <v>12.236559139784946</v>
      </c>
      <c r="K7" s="25">
        <f>H7/(D7+E7)</f>
        <v>1.02803738317757</v>
      </c>
      <c r="N7" s="13" t="s">
        <v>49</v>
      </c>
      <c r="O7" s="14">
        <f>K2</f>
        <v>108</v>
      </c>
      <c r="P7" s="15">
        <f>I4</f>
        <v>98.707901444350043</v>
      </c>
      <c r="Q7" s="15">
        <f>J4</f>
        <v>1161.6435725963743</v>
      </c>
      <c r="R7" s="493">
        <f>Q7/P7</f>
        <v>11.768496296634273</v>
      </c>
      <c r="S7" s="493">
        <f>P7/O7</f>
        <v>0.9139620504106486</v>
      </c>
    </row>
    <row r="8" spans="1:19" ht="15.75">
      <c r="A8" s="24">
        <v>45724</v>
      </c>
      <c r="B8" s="23" t="s">
        <v>114</v>
      </c>
      <c r="C8" s="23" t="s">
        <v>65</v>
      </c>
      <c r="D8" s="23">
        <v>106</v>
      </c>
      <c r="E8" s="23">
        <v>4</v>
      </c>
      <c r="F8" s="23">
        <v>105</v>
      </c>
      <c r="G8" s="23">
        <v>1156</v>
      </c>
      <c r="H8" s="29">
        <v>89</v>
      </c>
      <c r="I8" s="25">
        <f>F8/(D8+E8)</f>
        <v>0.95454545454545459</v>
      </c>
      <c r="J8" s="25">
        <f>G8/F8</f>
        <v>11.009523809523809</v>
      </c>
      <c r="K8" s="25">
        <f>H8/(D8+E8)</f>
        <v>0.80909090909090908</v>
      </c>
      <c r="N8" s="13" t="s">
        <v>50</v>
      </c>
      <c r="O8" s="14">
        <f>O7</f>
        <v>108</v>
      </c>
      <c r="P8" s="16">
        <f>O8*S7</f>
        <v>98.707901444350043</v>
      </c>
      <c r="Q8" s="16">
        <f>P8*R7</f>
        <v>1161.6435725963743</v>
      </c>
      <c r="R8" s="492"/>
      <c r="S8" s="492"/>
    </row>
    <row r="9" spans="1:19">
      <c r="A9" s="24">
        <v>45731</v>
      </c>
      <c r="B9" s="23" t="s">
        <v>114</v>
      </c>
      <c r="C9" s="23" t="s">
        <v>65</v>
      </c>
      <c r="D9" s="23">
        <v>102</v>
      </c>
      <c r="E9" s="23">
        <v>8</v>
      </c>
      <c r="F9" s="23">
        <v>101</v>
      </c>
      <c r="G9" s="23">
        <v>1218</v>
      </c>
      <c r="H9" s="23">
        <v>61</v>
      </c>
      <c r="I9" s="25">
        <f>F9/(D9+E9)</f>
        <v>0.91818181818181821</v>
      </c>
      <c r="J9" s="25">
        <f>G9/F9</f>
        <v>12.059405940594059</v>
      </c>
      <c r="K9" s="25">
        <f>H9/(D9+E9)</f>
        <v>0.55454545454545456</v>
      </c>
      <c r="N9" s="494" t="s">
        <v>51</v>
      </c>
      <c r="O9" s="495"/>
      <c r="P9" s="495"/>
      <c r="Q9" s="495"/>
      <c r="R9" s="495"/>
      <c r="S9" s="496"/>
    </row>
    <row r="10" spans="1:19">
      <c r="A10" s="24"/>
      <c r="B10" s="23"/>
      <c r="C10" s="23"/>
      <c r="D10" s="23"/>
      <c r="E10" s="23"/>
      <c r="F10" s="23"/>
      <c r="G10" s="23"/>
      <c r="H10" s="23"/>
      <c r="I10" s="25"/>
      <c r="J10" s="25"/>
      <c r="K10" s="25"/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24"/>
      <c r="B11" s="23"/>
      <c r="C11" s="23"/>
      <c r="D11" s="23"/>
      <c r="E11" s="23"/>
      <c r="F11" s="23"/>
      <c r="G11" s="23"/>
      <c r="H11" s="23"/>
      <c r="I11" s="25"/>
      <c r="J11" s="25"/>
      <c r="K11" s="25"/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24"/>
      <c r="B12" s="23"/>
      <c r="C12" s="23"/>
      <c r="D12" s="23"/>
      <c r="E12" s="23"/>
      <c r="F12" s="23"/>
      <c r="G12" s="23"/>
      <c r="H12" s="23"/>
      <c r="I12" s="25"/>
      <c r="J12" s="25"/>
      <c r="K12" s="25"/>
      <c r="N12" s="17">
        <v>1</v>
      </c>
      <c r="O12" s="18">
        <v>0</v>
      </c>
      <c r="P12" s="19">
        <f>O12*R7</f>
        <v>0</v>
      </c>
      <c r="Q12" s="17">
        <v>3</v>
      </c>
      <c r="R12" s="18">
        <v>35</v>
      </c>
      <c r="S12" s="19">
        <f>R12*R7</f>
        <v>411.8973703821996</v>
      </c>
    </row>
    <row r="13" spans="1:19" ht="15.75">
      <c r="A13" s="24"/>
      <c r="B13" s="23"/>
      <c r="C13" s="23"/>
      <c r="D13" s="23"/>
      <c r="E13" s="23"/>
      <c r="F13" s="23"/>
      <c r="G13" s="23"/>
      <c r="H13" s="23"/>
      <c r="I13" s="25"/>
      <c r="J13" s="25"/>
      <c r="K13" s="25"/>
      <c r="N13" s="17">
        <v>2</v>
      </c>
      <c r="O13" s="18">
        <v>0</v>
      </c>
      <c r="P13" s="19">
        <f>O13*R7</f>
        <v>0</v>
      </c>
      <c r="Q13" s="17">
        <v>4</v>
      </c>
      <c r="R13" s="18">
        <v>37</v>
      </c>
      <c r="S13" s="19">
        <f>R7*R13</f>
        <v>435.4343629754681</v>
      </c>
    </row>
    <row r="14" spans="1:19" ht="15.75">
      <c r="A14" s="24"/>
      <c r="B14" s="23"/>
      <c r="C14" s="23"/>
      <c r="D14" s="23"/>
      <c r="E14" s="23"/>
      <c r="F14" s="23"/>
      <c r="G14" s="23"/>
      <c r="H14" s="23"/>
      <c r="I14" s="25"/>
      <c r="J14" s="25"/>
      <c r="K14" s="25"/>
      <c r="N14" s="17">
        <v>3</v>
      </c>
      <c r="O14" s="18">
        <v>1</v>
      </c>
      <c r="P14" s="19">
        <f>R7*O14</f>
        <v>11.768496296634273</v>
      </c>
      <c r="Q14" s="17">
        <v>5</v>
      </c>
      <c r="R14" s="18">
        <v>0</v>
      </c>
      <c r="S14" s="19">
        <f>R14*R7</f>
        <v>0</v>
      </c>
    </row>
    <row r="15" spans="1:19" ht="15.75">
      <c r="A15" s="24"/>
      <c r="B15" s="23"/>
      <c r="C15" s="23"/>
      <c r="D15" s="23"/>
      <c r="E15" s="23"/>
      <c r="F15" s="23"/>
      <c r="G15" s="23"/>
      <c r="H15" s="23"/>
      <c r="I15" s="25"/>
      <c r="J15" s="25"/>
      <c r="K15" s="25"/>
      <c r="N15" s="17">
        <v>4</v>
      </c>
      <c r="O15" s="18">
        <v>0</v>
      </c>
      <c r="P15" s="19">
        <f>R7*O15</f>
        <v>0</v>
      </c>
      <c r="Q15" s="17">
        <v>1</v>
      </c>
      <c r="R15" s="18">
        <v>0</v>
      </c>
      <c r="S15" s="19">
        <f>R7*R15</f>
        <v>0</v>
      </c>
    </row>
    <row r="16" spans="1:19" ht="15.7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N16" s="17">
        <v>5</v>
      </c>
      <c r="O16" s="18">
        <v>0</v>
      </c>
      <c r="P16" s="19">
        <f>R7*O16</f>
        <v>0</v>
      </c>
      <c r="Q16" s="17"/>
      <c r="R16" s="18">
        <v>0</v>
      </c>
      <c r="S16" s="19">
        <f>R7*R16</f>
        <v>0</v>
      </c>
    </row>
    <row r="17" spans="1:19" ht="15.7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N17" s="17">
        <v>6</v>
      </c>
      <c r="O17" s="18">
        <v>0</v>
      </c>
      <c r="P17" s="19">
        <f>R7*O17</f>
        <v>0</v>
      </c>
      <c r="Q17" s="17"/>
      <c r="R17" s="18">
        <v>0</v>
      </c>
      <c r="S17" s="19">
        <f>R7*R17</f>
        <v>0</v>
      </c>
    </row>
    <row r="18" spans="1:19" ht="15.7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N18" s="17">
        <v>7</v>
      </c>
      <c r="O18" s="18">
        <v>0</v>
      </c>
      <c r="P18" s="19">
        <f>R7*O18</f>
        <v>0</v>
      </c>
      <c r="Q18" s="17"/>
      <c r="R18" s="18">
        <v>0</v>
      </c>
      <c r="S18" s="19">
        <f>R7*R18</f>
        <v>0</v>
      </c>
    </row>
    <row r="19" spans="1:19" ht="15.7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N19" s="17">
        <v>8</v>
      </c>
      <c r="O19" s="18">
        <v>30</v>
      </c>
      <c r="P19" s="19">
        <f>R7*O19</f>
        <v>353.05488889902819</v>
      </c>
      <c r="Q19" s="17"/>
      <c r="R19" s="18">
        <v>0</v>
      </c>
      <c r="S19" s="19">
        <f>R7*R19</f>
        <v>0</v>
      </c>
    </row>
    <row r="20" spans="1:19" ht="15.7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N20" s="17">
        <v>9</v>
      </c>
      <c r="O20" s="18">
        <v>50</v>
      </c>
      <c r="P20" s="19">
        <f>R7*O20</f>
        <v>588.42481483171366</v>
      </c>
      <c r="Q20" s="17"/>
      <c r="R20" s="18">
        <v>0</v>
      </c>
      <c r="S20" s="19">
        <f>R7*R20</f>
        <v>0</v>
      </c>
    </row>
    <row r="21" spans="1:19" ht="15.75">
      <c r="N21" s="20" t="s">
        <v>53</v>
      </c>
      <c r="O21" s="18">
        <v>50</v>
      </c>
      <c r="P21" s="19">
        <f>R7*O21</f>
        <v>588.42481483171366</v>
      </c>
      <c r="Q21" s="17"/>
      <c r="R21" s="18"/>
      <c r="S21" s="19">
        <f>R7*R21</f>
        <v>0</v>
      </c>
    </row>
    <row r="22" spans="1:19" ht="15.75">
      <c r="N22" s="13" t="s">
        <v>59</v>
      </c>
      <c r="O22" s="21">
        <f>P8-O12-O13-O14-O15-O16-O17-O18-O19-O20-O21</f>
        <v>-32.292098555649957</v>
      </c>
      <c r="P22" s="21">
        <f>Q8-P12-P13-P14-P15-P16-P17-P18-P19-P20-P21</f>
        <v>-380.02944226271552</v>
      </c>
      <c r="Q22" s="13" t="s">
        <v>59</v>
      </c>
      <c r="R22" s="21">
        <f>P8-R12-R13-R14-R15-R16-R17-R18-R19-R20-R21</f>
        <v>26.707901444350043</v>
      </c>
      <c r="S22" s="21">
        <f>Q8-S12-S13-S14-S15-S16-S17-S18-S19-S20-S21</f>
        <v>314.31183923870657</v>
      </c>
    </row>
    <row r="23" spans="1:19">
      <c r="N23" s="13" t="s">
        <v>60</v>
      </c>
      <c r="O23" s="16">
        <f>O12+O13+O14+O15+O16+O17+O18+O19+O20+O21</f>
        <v>131</v>
      </c>
      <c r="P23" s="16">
        <f>P12+P13+P14+P15+P16+P17+P18+P19+P20+P21</f>
        <v>1541.6730148590898</v>
      </c>
      <c r="Q23" s="13" t="s">
        <v>60</v>
      </c>
      <c r="R23" s="16">
        <f>R12+R13+R14+R15+R16+R17+R18+R19+R20+R21</f>
        <v>72</v>
      </c>
      <c r="S23" s="16">
        <f>S12+S13+S14+S15+S16+S17+S18+S19+S20+S21</f>
        <v>847.33173335766764</v>
      </c>
    </row>
  </sheetData>
  <sheetProtection password="CC6F" sheet="1" objects="1" scenarios="1"/>
  <mergeCells count="34">
    <mergeCell ref="S5:S6"/>
    <mergeCell ref="R7:R8"/>
    <mergeCell ref="S7:S8"/>
    <mergeCell ref="N9:S9"/>
    <mergeCell ref="N10:P10"/>
    <mergeCell ref="Q10:S10"/>
    <mergeCell ref="N5:N6"/>
    <mergeCell ref="O5:O6"/>
    <mergeCell ref="P5:P6"/>
    <mergeCell ref="Q5:Q6"/>
    <mergeCell ref="R5:R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A5:A6"/>
    <mergeCell ref="B5:B6"/>
    <mergeCell ref="C5:C6"/>
    <mergeCell ref="D5:D6"/>
    <mergeCell ref="E5:E6"/>
    <mergeCell ref="I5:I6"/>
    <mergeCell ref="J5:J6"/>
    <mergeCell ref="K5:K6"/>
    <mergeCell ref="C4:D4"/>
    <mergeCell ref="E4:F4"/>
    <mergeCell ref="G4:H4"/>
    <mergeCell ref="F5:G5"/>
    <mergeCell ref="H5:H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7"/>
  <sheetViews>
    <sheetView workbookViewId="0">
      <selection activeCell="A8" sqref="A8:K17"/>
    </sheetView>
  </sheetViews>
  <sheetFormatPr defaultRowHeight="15"/>
  <cols>
    <col min="1" max="1" width="10.140625" bestFit="1" customWidth="1"/>
  </cols>
  <sheetData>
    <row r="1" spans="1:11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1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200</v>
      </c>
    </row>
    <row r="3" spans="1:11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1">
      <c r="A4" s="73" t="s">
        <v>11</v>
      </c>
      <c r="B4" s="73" t="s">
        <v>113</v>
      </c>
      <c r="C4" s="510">
        <f>AVERAGEA(I7:I44)</f>
        <v>0.42727272727272725</v>
      </c>
      <c r="D4" s="511"/>
      <c r="E4" s="510">
        <f>AVERAGEA(J7:J44)</f>
        <v>12.382978723404255</v>
      </c>
      <c r="F4" s="511"/>
      <c r="G4" s="510">
        <f>AVERAGEA(K7:K44)</f>
        <v>0</v>
      </c>
      <c r="H4" s="511"/>
      <c r="I4" s="74">
        <f>C4*K2</f>
        <v>85.454545454545453</v>
      </c>
      <c r="J4" s="74">
        <f>I4*E4</f>
        <v>1058.1818181818182</v>
      </c>
      <c r="K4" s="74">
        <f>K2*G4</f>
        <v>0</v>
      </c>
    </row>
    <row r="5" spans="1:1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</row>
    <row r="6" spans="1:11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</row>
    <row r="7" spans="1:11">
      <c r="A7" s="77">
        <v>45956</v>
      </c>
      <c r="B7" s="78">
        <v>341</v>
      </c>
      <c r="C7" s="78" t="s">
        <v>62</v>
      </c>
      <c r="D7" s="78">
        <v>98</v>
      </c>
      <c r="E7" s="78">
        <v>12</v>
      </c>
      <c r="F7" s="78">
        <v>47</v>
      </c>
      <c r="G7" s="78">
        <v>582</v>
      </c>
      <c r="H7" s="78">
        <v>0</v>
      </c>
      <c r="I7" s="79">
        <f>F7/(D7+E7)</f>
        <v>0.42727272727272725</v>
      </c>
      <c r="J7" s="79">
        <f>G7/F7</f>
        <v>12.382978723404255</v>
      </c>
      <c r="K7" s="79">
        <f>H7/(D7+E7)</f>
        <v>0</v>
      </c>
    </row>
    <row r="8" spans="1:11">
      <c r="A8" s="80"/>
      <c r="B8" s="256"/>
      <c r="C8" s="256"/>
      <c r="D8" s="81"/>
      <c r="E8" s="81"/>
      <c r="F8" s="81"/>
      <c r="G8" s="81"/>
      <c r="H8" s="81"/>
      <c r="I8" s="79"/>
      <c r="J8" s="79"/>
      <c r="K8" s="79"/>
    </row>
    <row r="9" spans="1:11">
      <c r="A9" s="80"/>
      <c r="B9" s="258"/>
      <c r="C9" s="258"/>
      <c r="D9" s="81"/>
      <c r="E9" s="81"/>
      <c r="F9" s="81"/>
      <c r="G9" s="81"/>
      <c r="H9" s="81"/>
      <c r="I9" s="79"/>
      <c r="J9" s="79"/>
      <c r="K9" s="79"/>
    </row>
    <row r="10" spans="1:11">
      <c r="A10" s="80"/>
      <c r="B10" s="259"/>
      <c r="C10" s="259"/>
      <c r="D10" s="81"/>
      <c r="E10" s="81"/>
      <c r="F10" s="81"/>
      <c r="G10" s="81"/>
      <c r="H10" s="81"/>
      <c r="I10" s="79"/>
      <c r="J10" s="79"/>
      <c r="K10" s="79"/>
    </row>
    <row r="11" spans="1:11">
      <c r="A11" s="80"/>
      <c r="B11" s="261"/>
      <c r="C11" s="261"/>
      <c r="D11" s="81"/>
      <c r="E11" s="81"/>
      <c r="F11" s="81"/>
      <c r="G11" s="81"/>
      <c r="H11" s="81"/>
      <c r="I11" s="79"/>
      <c r="J11" s="79"/>
      <c r="K11" s="79"/>
    </row>
    <row r="12" spans="1:11">
      <c r="A12" s="80"/>
      <c r="B12" s="264"/>
      <c r="C12" s="264"/>
      <c r="D12" s="81"/>
      <c r="E12" s="81"/>
      <c r="F12" s="81"/>
      <c r="G12" s="81"/>
      <c r="H12" s="81"/>
      <c r="I12" s="79"/>
      <c r="J12" s="79"/>
      <c r="K12" s="79"/>
    </row>
    <row r="13" spans="1:11">
      <c r="A13" s="80"/>
      <c r="B13" s="266"/>
      <c r="C13" s="266"/>
      <c r="D13" s="81"/>
      <c r="E13" s="81"/>
      <c r="F13" s="81"/>
      <c r="G13" s="81"/>
      <c r="H13" s="81"/>
      <c r="I13" s="79"/>
      <c r="J13" s="79"/>
      <c r="K13" s="79"/>
    </row>
    <row r="14" spans="1:11">
      <c r="A14" s="80"/>
      <c r="B14" s="269"/>
      <c r="C14" s="269"/>
      <c r="D14" s="81"/>
      <c r="E14" s="81"/>
      <c r="F14" s="81"/>
      <c r="G14" s="81"/>
      <c r="H14" s="81"/>
      <c r="I14" s="79"/>
      <c r="J14" s="79"/>
      <c r="K14" s="79"/>
    </row>
    <row r="15" spans="1:11">
      <c r="A15" s="80"/>
      <c r="B15" s="241"/>
      <c r="C15" s="241"/>
      <c r="D15" s="81"/>
      <c r="E15" s="81"/>
      <c r="F15" s="81"/>
      <c r="G15" s="81"/>
      <c r="H15" s="81"/>
      <c r="I15" s="79"/>
      <c r="J15" s="79"/>
      <c r="K15" s="79"/>
    </row>
    <row r="16" spans="1:11">
      <c r="A16" s="80"/>
      <c r="B16" s="153"/>
      <c r="C16" s="170"/>
      <c r="D16" s="81"/>
      <c r="E16" s="81"/>
      <c r="F16" s="81"/>
      <c r="G16" s="81"/>
      <c r="H16" s="81"/>
      <c r="I16" s="79"/>
      <c r="J16" s="79"/>
      <c r="K16" s="79"/>
    </row>
    <row r="17" spans="1:11">
      <c r="A17" s="80"/>
      <c r="B17" s="81"/>
      <c r="C17" s="155"/>
      <c r="D17" s="81"/>
      <c r="E17" s="81"/>
      <c r="F17" s="81"/>
      <c r="G17" s="81"/>
      <c r="H17" s="81"/>
      <c r="I17" s="79"/>
      <c r="J17" s="79"/>
      <c r="K17" s="79"/>
    </row>
    <row r="18" spans="1:11">
      <c r="A18" s="80"/>
      <c r="B18" s="138"/>
      <c r="C18" s="155"/>
      <c r="D18" s="81"/>
      <c r="E18" s="81"/>
      <c r="F18" s="81"/>
      <c r="G18" s="81"/>
      <c r="H18" s="81"/>
      <c r="I18" s="79"/>
      <c r="J18" s="79"/>
      <c r="K18" s="79"/>
    </row>
    <row r="19" spans="1:11">
      <c r="A19" s="80"/>
      <c r="B19" s="81"/>
      <c r="C19" s="155"/>
      <c r="D19" s="81"/>
      <c r="E19" s="81"/>
      <c r="F19" s="81"/>
      <c r="G19" s="81"/>
      <c r="H19" s="81"/>
      <c r="I19" s="79"/>
      <c r="J19" s="79"/>
      <c r="K19" s="79"/>
    </row>
    <row r="20" spans="1:11">
      <c r="A20" s="80"/>
      <c r="B20" s="81"/>
      <c r="C20" s="157"/>
      <c r="D20" s="81"/>
      <c r="E20" s="81"/>
      <c r="F20" s="81"/>
      <c r="G20" s="81"/>
      <c r="H20" s="81"/>
      <c r="I20" s="79"/>
      <c r="J20" s="79"/>
      <c r="K20" s="79"/>
    </row>
    <row r="21" spans="1:11">
      <c r="A21" s="80"/>
      <c r="B21" s="157"/>
      <c r="C21" s="157"/>
      <c r="D21" s="81"/>
      <c r="E21" s="81"/>
      <c r="F21" s="81"/>
      <c r="G21" s="81"/>
      <c r="H21" s="81"/>
      <c r="I21" s="79"/>
      <c r="J21" s="79"/>
      <c r="K21" s="79"/>
    </row>
    <row r="22" spans="1:11">
      <c r="A22" s="80"/>
      <c r="B22" s="145"/>
      <c r="C22" s="158"/>
      <c r="D22" s="81"/>
      <c r="E22" s="81"/>
      <c r="F22" s="81"/>
      <c r="G22" s="81"/>
      <c r="H22" s="81"/>
      <c r="I22" s="79"/>
      <c r="J22" s="79"/>
      <c r="K22" s="79"/>
    </row>
    <row r="23" spans="1:11">
      <c r="A23" s="80"/>
      <c r="B23" s="130"/>
      <c r="C23" s="146"/>
      <c r="D23" s="81"/>
      <c r="E23" s="81"/>
      <c r="F23" s="81"/>
      <c r="G23" s="81"/>
      <c r="H23" s="81"/>
      <c r="I23" s="79"/>
      <c r="J23" s="79"/>
      <c r="K23" s="79"/>
    </row>
    <row r="24" spans="1:11">
      <c r="A24" s="80"/>
      <c r="B24" s="81"/>
      <c r="C24" s="148"/>
      <c r="D24" s="81"/>
      <c r="E24" s="81"/>
      <c r="F24" s="81"/>
      <c r="G24" s="81"/>
      <c r="H24" s="81"/>
      <c r="I24" s="79"/>
      <c r="J24" s="79"/>
      <c r="K24" s="79"/>
    </row>
    <row r="25" spans="1:1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</row>
    <row r="26" spans="1:1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</row>
    <row r="27" spans="1:1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</row>
  </sheetData>
  <sheetProtection password="CC6F" sheet="1" objects="1" scenarios="1"/>
  <mergeCells count="23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A5:A6"/>
    <mergeCell ref="B5:B6"/>
    <mergeCell ref="C5:C6"/>
    <mergeCell ref="D5:D6"/>
    <mergeCell ref="E5:E6"/>
    <mergeCell ref="I5:I6"/>
    <mergeCell ref="J5:J6"/>
    <mergeCell ref="K5:K6"/>
    <mergeCell ref="C4:D4"/>
    <mergeCell ref="E4:F4"/>
    <mergeCell ref="G4:H4"/>
    <mergeCell ref="F5:G5"/>
    <mergeCell ref="H5:H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 codeName="Лист4"/>
  <dimension ref="A1:S1000"/>
  <sheetViews>
    <sheetView workbookViewId="0">
      <selection activeCell="A14" sqref="A14"/>
    </sheetView>
  </sheetViews>
  <sheetFormatPr defaultColWidth="14.42578125" defaultRowHeight="15" customHeight="1"/>
  <cols>
    <col min="1" max="1" width="10.140625" customWidth="1"/>
    <col min="2" max="8" width="8.7109375" customWidth="1"/>
    <col min="9" max="9" width="14" customWidth="1"/>
    <col min="10" max="10" width="15.5703125" customWidth="1"/>
    <col min="11" max="11" width="12.85546875" customWidth="1"/>
    <col min="12" max="13" width="8.7109375" customWidth="1"/>
    <col min="14" max="14" width="12" customWidth="1"/>
    <col min="15" max="15" width="11.5703125" customWidth="1"/>
    <col min="16" max="16" width="13.5703125" customWidth="1"/>
    <col min="17" max="17" width="12" customWidth="1"/>
    <col min="18" max="18" width="10.42578125" customWidth="1"/>
    <col min="19" max="19" width="12.7109375" customWidth="1"/>
    <col min="20" max="26" width="8.7109375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141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/>
    </row>
    <row r="4" spans="1:19">
      <c r="A4" s="2" t="s">
        <v>11</v>
      </c>
      <c r="B4" s="2" t="s">
        <v>26</v>
      </c>
      <c r="C4" s="500">
        <f>AVERAGEA(I7:I49)</f>
        <v>0.67022433094695677</v>
      </c>
      <c r="D4" s="501"/>
      <c r="E4" s="500">
        <f>AVERAGEA(J7:J49)</f>
        <v>12.381970824087189</v>
      </c>
      <c r="F4" s="501"/>
      <c r="G4" s="500">
        <f>AVERAGEA(K7:K49)</f>
        <v>0.69377057981698331</v>
      </c>
      <c r="H4" s="501"/>
      <c r="I4" s="3">
        <f>C4*K2</f>
        <v>94.501630663520899</v>
      </c>
      <c r="J4" s="3">
        <f>I4*E4</f>
        <v>1170.116433704379</v>
      </c>
      <c r="K4" s="3">
        <f>K2*G4</f>
        <v>97.821651754194647</v>
      </c>
    </row>
    <row r="5" spans="1:19" ht="15" customHeight="1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2"/>
      <c r="B6" s="492"/>
      <c r="C6" s="492"/>
      <c r="D6" s="492"/>
      <c r="E6" s="492"/>
      <c r="F6" s="4" t="s">
        <v>20</v>
      </c>
      <c r="G6" s="5" t="s">
        <v>21</v>
      </c>
      <c r="H6" s="492"/>
      <c r="I6" s="492"/>
      <c r="J6" s="492"/>
      <c r="K6" s="492"/>
      <c r="N6" s="492"/>
      <c r="O6" s="492"/>
      <c r="P6" s="492"/>
      <c r="Q6" s="492"/>
      <c r="R6" s="492"/>
      <c r="S6" s="492"/>
    </row>
    <row r="7" spans="1:19" ht="15.75">
      <c r="A7" s="11">
        <v>45931</v>
      </c>
      <c r="B7" s="12">
        <v>868</v>
      </c>
      <c r="C7" s="12" t="s">
        <v>62</v>
      </c>
      <c r="D7" s="12">
        <v>176</v>
      </c>
      <c r="E7" s="12">
        <v>6</v>
      </c>
      <c r="F7" s="12">
        <v>135</v>
      </c>
      <c r="G7" s="12">
        <v>1629</v>
      </c>
      <c r="H7" s="12">
        <v>255</v>
      </c>
      <c r="I7" s="6">
        <f t="shared" ref="I7:I13" si="0">F7/(D7+E7)</f>
        <v>0.74175824175824179</v>
      </c>
      <c r="J7" s="6">
        <f t="shared" ref="J7:J13" si="1">G7/F7</f>
        <v>12.066666666666666</v>
      </c>
      <c r="K7" s="6">
        <f t="shared" ref="K7:K13" si="2">H7/(D7+E7)</f>
        <v>1.401098901098901</v>
      </c>
      <c r="N7" s="13" t="s">
        <v>49</v>
      </c>
      <c r="O7" s="14">
        <f>K2</f>
        <v>141</v>
      </c>
      <c r="P7" s="15">
        <f>I4</f>
        <v>94.501630663520899</v>
      </c>
      <c r="Q7" s="15">
        <f>J4</f>
        <v>1170.116433704379</v>
      </c>
      <c r="R7" s="493">
        <f>Q7/P7</f>
        <v>12.381970824087189</v>
      </c>
      <c r="S7" s="493">
        <f>P7/O7</f>
        <v>0.67022433094695677</v>
      </c>
    </row>
    <row r="8" spans="1:19" ht="15.75">
      <c r="A8" s="11">
        <v>45935</v>
      </c>
      <c r="B8" s="12">
        <v>868</v>
      </c>
      <c r="C8" s="12" t="s">
        <v>74</v>
      </c>
      <c r="D8" s="12">
        <v>166</v>
      </c>
      <c r="E8" s="12">
        <v>4</v>
      </c>
      <c r="F8" s="12">
        <v>114</v>
      </c>
      <c r="G8" s="12">
        <v>1368</v>
      </c>
      <c r="H8" s="12">
        <v>131</v>
      </c>
      <c r="I8" s="6">
        <f t="shared" si="0"/>
        <v>0.6705882352941176</v>
      </c>
      <c r="J8" s="6">
        <f t="shared" si="1"/>
        <v>12</v>
      </c>
      <c r="K8" s="6">
        <f t="shared" si="2"/>
        <v>0.77058823529411768</v>
      </c>
      <c r="N8" s="13" t="s">
        <v>50</v>
      </c>
      <c r="O8" s="14">
        <f>O7</f>
        <v>141</v>
      </c>
      <c r="P8" s="16">
        <f>O8*S7</f>
        <v>94.501630663520899</v>
      </c>
      <c r="Q8" s="16">
        <f>P8*R7</f>
        <v>1170.116433704379</v>
      </c>
      <c r="R8" s="492"/>
      <c r="S8" s="492"/>
    </row>
    <row r="9" spans="1:19">
      <c r="A9" s="11">
        <v>45938</v>
      </c>
      <c r="B9" s="12">
        <v>868</v>
      </c>
      <c r="C9" s="12" t="s">
        <v>62</v>
      </c>
      <c r="D9" s="12">
        <v>172</v>
      </c>
      <c r="E9" s="12">
        <v>7</v>
      </c>
      <c r="F9" s="12">
        <v>130</v>
      </c>
      <c r="G9" s="12">
        <v>1583</v>
      </c>
      <c r="H9" s="12">
        <v>182</v>
      </c>
      <c r="I9" s="6">
        <f t="shared" si="0"/>
        <v>0.72625698324022347</v>
      </c>
      <c r="J9" s="6">
        <f t="shared" si="1"/>
        <v>12.176923076923076</v>
      </c>
      <c r="K9" s="6">
        <f t="shared" si="2"/>
        <v>1.0167597765363128</v>
      </c>
      <c r="N9" s="494" t="s">
        <v>51</v>
      </c>
      <c r="O9" s="495"/>
      <c r="P9" s="495"/>
      <c r="Q9" s="495"/>
      <c r="R9" s="495"/>
      <c r="S9" s="496"/>
    </row>
    <row r="10" spans="1:19">
      <c r="A10" s="11">
        <v>45942</v>
      </c>
      <c r="B10" s="12">
        <v>868</v>
      </c>
      <c r="C10" s="12" t="s">
        <v>61</v>
      </c>
      <c r="D10" s="12">
        <v>167</v>
      </c>
      <c r="E10" s="12">
        <v>8</v>
      </c>
      <c r="F10" s="12">
        <v>109</v>
      </c>
      <c r="G10" s="12">
        <v>1289</v>
      </c>
      <c r="H10" s="12">
        <v>173</v>
      </c>
      <c r="I10" s="6">
        <f t="shared" si="0"/>
        <v>0.62285714285714289</v>
      </c>
      <c r="J10" s="6">
        <f t="shared" si="1"/>
        <v>11.825688073394495</v>
      </c>
      <c r="K10" s="6">
        <f t="shared" si="2"/>
        <v>0.98857142857142855</v>
      </c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11">
        <v>45945</v>
      </c>
      <c r="B11" s="12">
        <v>868</v>
      </c>
      <c r="C11" s="12" t="s">
        <v>62</v>
      </c>
      <c r="D11" s="12">
        <v>162</v>
      </c>
      <c r="E11" s="12">
        <v>7</v>
      </c>
      <c r="F11" s="12">
        <v>122</v>
      </c>
      <c r="G11" s="12">
        <v>1433</v>
      </c>
      <c r="H11" s="12">
        <v>92</v>
      </c>
      <c r="I11" s="6">
        <f t="shared" si="0"/>
        <v>0.72189349112426038</v>
      </c>
      <c r="J11" s="6">
        <f t="shared" si="1"/>
        <v>11.745901639344263</v>
      </c>
      <c r="K11" s="6">
        <f t="shared" si="2"/>
        <v>0.54437869822485208</v>
      </c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11">
        <v>45950</v>
      </c>
      <c r="B12" s="12">
        <v>868</v>
      </c>
      <c r="C12" s="12" t="s">
        <v>61</v>
      </c>
      <c r="D12" s="12">
        <v>168</v>
      </c>
      <c r="E12" s="12">
        <v>9</v>
      </c>
      <c r="F12" s="12">
        <v>92</v>
      </c>
      <c r="G12" s="12">
        <v>1138</v>
      </c>
      <c r="H12" s="12">
        <v>15</v>
      </c>
      <c r="I12" s="6">
        <f t="shared" si="0"/>
        <v>0.51977401129943501</v>
      </c>
      <c r="J12" s="6">
        <f t="shared" si="1"/>
        <v>12.369565217391305</v>
      </c>
      <c r="K12" s="6">
        <f t="shared" si="2"/>
        <v>8.4745762711864403E-2</v>
      </c>
      <c r="N12" s="17">
        <v>1</v>
      </c>
      <c r="O12" s="18">
        <v>0</v>
      </c>
      <c r="P12" s="19">
        <f>O12*R7</f>
        <v>0</v>
      </c>
      <c r="Q12" s="17">
        <v>3</v>
      </c>
      <c r="R12" s="18">
        <v>35</v>
      </c>
      <c r="S12" s="19">
        <f>R12*R7</f>
        <v>433.36897884305159</v>
      </c>
    </row>
    <row r="13" spans="1:19" ht="15.75">
      <c r="A13" s="11">
        <v>45952</v>
      </c>
      <c r="B13" s="12">
        <v>868</v>
      </c>
      <c r="C13" s="12" t="s">
        <v>61</v>
      </c>
      <c r="D13" s="12">
        <v>184</v>
      </c>
      <c r="E13" s="12">
        <v>15</v>
      </c>
      <c r="F13" s="12">
        <v>137</v>
      </c>
      <c r="G13" s="12">
        <v>1985</v>
      </c>
      <c r="H13" s="12">
        <v>10</v>
      </c>
      <c r="I13" s="6">
        <f t="shared" si="0"/>
        <v>0.68844221105527637</v>
      </c>
      <c r="J13" s="6">
        <f t="shared" si="1"/>
        <v>14.489051094890511</v>
      </c>
      <c r="K13" s="6">
        <f t="shared" si="2"/>
        <v>5.0251256281407038E-2</v>
      </c>
      <c r="N13" s="17">
        <v>2</v>
      </c>
      <c r="O13" s="18">
        <v>0</v>
      </c>
      <c r="P13" s="19">
        <f>O13*R7</f>
        <v>0</v>
      </c>
      <c r="Q13" s="17">
        <v>4</v>
      </c>
      <c r="R13" s="18">
        <v>18</v>
      </c>
      <c r="S13" s="19">
        <f>R7*R13</f>
        <v>222.8754748335694</v>
      </c>
    </row>
    <row r="14" spans="1:19" ht="15.75">
      <c r="A14" s="11"/>
      <c r="B14" s="12"/>
      <c r="C14" s="12"/>
      <c r="D14" s="12"/>
      <c r="E14" s="12"/>
      <c r="F14" s="12"/>
      <c r="G14" s="12"/>
      <c r="H14" s="12"/>
      <c r="I14" s="6"/>
      <c r="J14" s="6"/>
      <c r="K14" s="6"/>
      <c r="N14" s="17">
        <v>3</v>
      </c>
      <c r="O14" s="18">
        <v>1</v>
      </c>
      <c r="P14" s="19">
        <f>R7*O14</f>
        <v>12.381970824087189</v>
      </c>
      <c r="Q14" s="17">
        <v>5</v>
      </c>
      <c r="R14" s="18">
        <v>0</v>
      </c>
      <c r="S14" s="19">
        <f>R14*R7</f>
        <v>0</v>
      </c>
    </row>
    <row r="15" spans="1:19" ht="15.75">
      <c r="A15" s="11"/>
      <c r="B15" s="12"/>
      <c r="C15" s="12"/>
      <c r="D15" s="12"/>
      <c r="E15" s="12"/>
      <c r="F15" s="12"/>
      <c r="G15" s="12"/>
      <c r="H15" s="12"/>
      <c r="I15" s="6"/>
      <c r="J15" s="6"/>
      <c r="K15" s="6"/>
      <c r="N15" s="17">
        <v>4</v>
      </c>
      <c r="O15" s="18">
        <v>0</v>
      </c>
      <c r="P15" s="19">
        <f>R7*O15</f>
        <v>0</v>
      </c>
      <c r="Q15" s="17">
        <v>1</v>
      </c>
      <c r="R15" s="18">
        <v>0</v>
      </c>
      <c r="S15" s="19">
        <f>R7*R15</f>
        <v>0</v>
      </c>
    </row>
    <row r="16" spans="1:19" ht="15.75">
      <c r="A16" s="11"/>
      <c r="B16" s="12"/>
      <c r="C16" s="12"/>
      <c r="D16" s="12"/>
      <c r="E16" s="12"/>
      <c r="F16" s="12"/>
      <c r="G16" s="12"/>
      <c r="H16" s="12"/>
      <c r="I16" s="6"/>
      <c r="J16" s="6"/>
      <c r="K16" s="6"/>
      <c r="N16" s="17">
        <v>5</v>
      </c>
      <c r="O16" s="18">
        <v>0</v>
      </c>
      <c r="P16" s="19">
        <f>R7*O16</f>
        <v>0</v>
      </c>
      <c r="Q16" s="17"/>
      <c r="R16" s="18">
        <v>0</v>
      </c>
      <c r="S16" s="19">
        <f>R7*R16</f>
        <v>0</v>
      </c>
    </row>
    <row r="17" spans="1:19" ht="15.75">
      <c r="A17" s="11"/>
      <c r="B17" s="12"/>
      <c r="C17" s="12"/>
      <c r="D17" s="12"/>
      <c r="E17" s="12"/>
      <c r="F17" s="12"/>
      <c r="G17" s="12"/>
      <c r="H17" s="12"/>
      <c r="I17" s="6"/>
      <c r="J17" s="6"/>
      <c r="K17" s="6"/>
      <c r="N17" s="17">
        <v>6</v>
      </c>
      <c r="O17" s="18">
        <v>0</v>
      </c>
      <c r="P17" s="19">
        <f>R7*O17</f>
        <v>0</v>
      </c>
      <c r="Q17" s="17"/>
      <c r="R17" s="18">
        <v>0</v>
      </c>
      <c r="S17" s="19">
        <f>R7*R17</f>
        <v>0</v>
      </c>
    </row>
    <row r="18" spans="1:19" ht="15.75">
      <c r="A18" s="11"/>
      <c r="B18" s="12"/>
      <c r="C18" s="12"/>
      <c r="D18" s="12"/>
      <c r="E18" s="12"/>
      <c r="F18" s="12"/>
      <c r="G18" s="12"/>
      <c r="H18" s="12"/>
      <c r="I18" s="6"/>
      <c r="J18" s="6"/>
      <c r="K18" s="6"/>
      <c r="N18" s="17">
        <v>7</v>
      </c>
      <c r="O18" s="18">
        <v>0</v>
      </c>
      <c r="P18" s="19">
        <f>R7*O18</f>
        <v>0</v>
      </c>
      <c r="Q18" s="17"/>
      <c r="R18" s="18">
        <v>0</v>
      </c>
      <c r="S18" s="19">
        <f>R7*R18</f>
        <v>0</v>
      </c>
    </row>
    <row r="19" spans="1:19" ht="15.75">
      <c r="A19" s="11"/>
      <c r="B19" s="12"/>
      <c r="C19" s="12"/>
      <c r="D19" s="12"/>
      <c r="E19" s="12"/>
      <c r="F19" s="12"/>
      <c r="G19" s="12"/>
      <c r="H19" s="12"/>
      <c r="I19" s="6"/>
      <c r="J19" s="6"/>
      <c r="K19" s="6"/>
      <c r="N19" s="17">
        <v>8</v>
      </c>
      <c r="O19" s="18">
        <v>30</v>
      </c>
      <c r="P19" s="19">
        <f>R7*O19</f>
        <v>371.45912472261568</v>
      </c>
      <c r="Q19" s="17"/>
      <c r="R19" s="18">
        <v>0</v>
      </c>
      <c r="S19" s="19">
        <f>R7*R19</f>
        <v>0</v>
      </c>
    </row>
    <row r="20" spans="1:19" ht="15.75">
      <c r="A20" s="11"/>
      <c r="B20" s="12"/>
      <c r="C20" s="12"/>
      <c r="D20" s="12"/>
      <c r="E20" s="12"/>
      <c r="F20" s="12"/>
      <c r="G20" s="12"/>
      <c r="H20" s="12"/>
      <c r="I20" s="6"/>
      <c r="J20" s="6"/>
      <c r="K20" s="6"/>
      <c r="N20" s="17">
        <v>9</v>
      </c>
      <c r="O20" s="18">
        <v>50</v>
      </c>
      <c r="P20" s="19">
        <f>R7*O20</f>
        <v>619.09854120435944</v>
      </c>
      <c r="Q20" s="17"/>
      <c r="R20" s="18">
        <v>0</v>
      </c>
      <c r="S20" s="19">
        <f>R7*R20</f>
        <v>0</v>
      </c>
    </row>
    <row r="21" spans="1:19" ht="15.75" customHeight="1">
      <c r="A21" s="11"/>
      <c r="B21" s="12"/>
      <c r="C21" s="12"/>
      <c r="D21" s="12"/>
      <c r="E21" s="12"/>
      <c r="F21" s="12"/>
      <c r="G21" s="12"/>
      <c r="H21" s="12"/>
      <c r="I21" s="6"/>
      <c r="J21" s="9"/>
      <c r="K21" s="9"/>
      <c r="N21" s="20" t="s">
        <v>53</v>
      </c>
      <c r="O21" s="18">
        <v>50</v>
      </c>
      <c r="P21" s="19">
        <f>R7*O21</f>
        <v>619.09854120435944</v>
      </c>
      <c r="Q21" s="17"/>
      <c r="R21" s="18"/>
      <c r="S21" s="19">
        <f>R7*R21</f>
        <v>0</v>
      </c>
    </row>
    <row r="22" spans="1:19" ht="15.75" customHeight="1">
      <c r="A22" s="11"/>
      <c r="B22" s="12"/>
      <c r="C22" s="12"/>
      <c r="D22" s="12"/>
      <c r="E22" s="12"/>
      <c r="F22" s="12"/>
      <c r="G22" s="12"/>
      <c r="H22" s="12"/>
      <c r="I22" s="6"/>
      <c r="J22" s="9"/>
      <c r="K22" s="9"/>
      <c r="N22" s="13" t="s">
        <v>59</v>
      </c>
      <c r="O22" s="21">
        <f>P8-O12-O13-O14-O15-O16-O17-O18-O19-O20-O21</f>
        <v>-36.498369336479101</v>
      </c>
      <c r="P22" s="21">
        <f>Q8-P12-P13-P14-P15-P16-P17-P18-P19-P20-P21</f>
        <v>-451.9217442510427</v>
      </c>
      <c r="Q22" s="13" t="s">
        <v>59</v>
      </c>
      <c r="R22" s="21">
        <f>P8-R12-R13-R14-R15-R16-R17-R18-R19-R20-R21</f>
        <v>41.501630663520899</v>
      </c>
      <c r="S22" s="21">
        <f>Q8-S12-S13-S14-S15-S16-S17-S18-S19-S20-S21</f>
        <v>513.87198002775813</v>
      </c>
    </row>
    <row r="23" spans="1:19" ht="15.75" customHeight="1">
      <c r="A23" s="11"/>
      <c r="B23" s="12"/>
      <c r="C23" s="12"/>
      <c r="D23" s="12"/>
      <c r="E23" s="12"/>
      <c r="F23" s="12"/>
      <c r="G23" s="12"/>
      <c r="H23" s="12"/>
      <c r="I23" s="6"/>
      <c r="J23" s="9"/>
      <c r="K23" s="9"/>
      <c r="N23" s="13" t="s">
        <v>60</v>
      </c>
      <c r="O23" s="16">
        <f>O12+O13+O14+O15+O16+O17+O18+O19+O20+O21</f>
        <v>131</v>
      </c>
      <c r="P23" s="16">
        <f>P12+P13+P14+P15+P16+P17+P18+P19+P20+P21</f>
        <v>1622.0381779554218</v>
      </c>
      <c r="Q23" s="13" t="s">
        <v>60</v>
      </c>
      <c r="R23" s="16">
        <f>R12+R13+R14+R15+R16+R17+R18+R19+R20+R21</f>
        <v>53</v>
      </c>
      <c r="S23" s="16">
        <f>S12+S13+S14+S15+S16+S17+S18+S19+S20+S21</f>
        <v>656.24445367662099</v>
      </c>
    </row>
    <row r="24" spans="1:19" ht="15.75" customHeight="1">
      <c r="A24" s="11"/>
      <c r="B24" s="12"/>
      <c r="C24" s="12"/>
      <c r="D24" s="12"/>
      <c r="E24" s="12"/>
      <c r="F24" s="12"/>
      <c r="G24" s="12"/>
      <c r="H24" s="12"/>
      <c r="I24" s="6"/>
      <c r="J24" s="9"/>
      <c r="K24" s="9"/>
    </row>
    <row r="25" spans="1:19" ht="15.75" customHeight="1">
      <c r="A25" s="11"/>
      <c r="B25" s="12"/>
      <c r="C25" s="12"/>
      <c r="D25" s="12"/>
      <c r="E25" s="12"/>
      <c r="F25" s="12"/>
      <c r="G25" s="12"/>
      <c r="H25" s="12"/>
      <c r="I25" s="6"/>
      <c r="J25" s="9"/>
      <c r="K25" s="9"/>
    </row>
    <row r="26" spans="1:19" ht="15.75" customHeight="1">
      <c r="A26" s="8"/>
      <c r="B26" s="7"/>
      <c r="C26" s="7"/>
      <c r="D26" s="7"/>
      <c r="E26" s="7"/>
      <c r="F26" s="7"/>
      <c r="G26" s="7"/>
      <c r="H26" s="7"/>
      <c r="I26" s="6"/>
      <c r="J26" s="9"/>
      <c r="K26" s="9"/>
    </row>
    <row r="27" spans="1:19" ht="15.75" customHeight="1">
      <c r="A27" s="8"/>
      <c r="B27" s="7"/>
      <c r="C27" s="7"/>
      <c r="D27" s="7"/>
      <c r="E27" s="7"/>
      <c r="F27" s="7"/>
      <c r="G27" s="7"/>
      <c r="H27" s="7"/>
      <c r="I27" s="6"/>
      <c r="J27" s="9"/>
      <c r="K27" s="9"/>
    </row>
    <row r="28" spans="1:19" ht="15.75" customHeight="1">
      <c r="A28" s="8"/>
      <c r="B28" s="7"/>
      <c r="C28" s="7"/>
      <c r="D28" s="7"/>
      <c r="E28" s="7"/>
      <c r="F28" s="7"/>
      <c r="G28" s="7"/>
      <c r="H28" s="7"/>
      <c r="I28" s="6"/>
      <c r="J28" s="9"/>
      <c r="K28" s="9"/>
    </row>
    <row r="29" spans="1:19" ht="15.75" customHeight="1">
      <c r="A29" s="8"/>
      <c r="B29" s="7"/>
      <c r="C29" s="7"/>
      <c r="D29" s="7"/>
      <c r="E29" s="7"/>
      <c r="F29" s="7"/>
      <c r="G29" s="7"/>
      <c r="H29" s="7"/>
      <c r="I29" s="6"/>
      <c r="J29" s="9"/>
      <c r="K29" s="9"/>
    </row>
    <row r="30" spans="1:19" ht="15.75" customHeight="1">
      <c r="A30" s="8"/>
      <c r="B30" s="7"/>
      <c r="C30" s="7"/>
      <c r="D30" s="7"/>
      <c r="E30" s="7"/>
      <c r="F30" s="7"/>
      <c r="G30" s="7"/>
      <c r="H30" s="7"/>
      <c r="I30" s="6"/>
      <c r="J30" s="9"/>
      <c r="K30" s="9"/>
    </row>
    <row r="31" spans="1:19" ht="15.75" customHeight="1">
      <c r="A31" s="8"/>
      <c r="B31" s="7"/>
      <c r="C31" s="7"/>
      <c r="D31" s="7"/>
      <c r="E31" s="7"/>
      <c r="F31" s="7"/>
      <c r="G31" s="7"/>
      <c r="H31" s="7"/>
      <c r="I31" s="6"/>
      <c r="J31" s="9"/>
      <c r="K31" s="9"/>
    </row>
    <row r="32" spans="1:19" ht="15.75" customHeight="1">
      <c r="A32" s="8"/>
      <c r="B32" s="7"/>
      <c r="C32" s="7"/>
      <c r="D32" s="7"/>
      <c r="E32" s="7"/>
      <c r="F32" s="7"/>
      <c r="G32" s="7"/>
      <c r="H32" s="7"/>
      <c r="I32" s="6"/>
      <c r="J32" s="9"/>
      <c r="K32" s="9"/>
    </row>
    <row r="33" spans="1:11" ht="15.75" customHeight="1">
      <c r="A33" s="8"/>
      <c r="B33" s="7"/>
      <c r="C33" s="7"/>
      <c r="D33" s="7"/>
      <c r="E33" s="7"/>
      <c r="F33" s="7"/>
      <c r="G33" s="7"/>
      <c r="H33" s="7"/>
      <c r="I33" s="6"/>
      <c r="J33" s="9"/>
      <c r="K33" s="9"/>
    </row>
    <row r="34" spans="1:11" ht="15.75" customHeight="1">
      <c r="A34" s="8"/>
      <c r="B34" s="7"/>
      <c r="C34" s="7"/>
      <c r="D34" s="7"/>
      <c r="E34" s="7"/>
      <c r="F34" s="7"/>
      <c r="G34" s="7"/>
      <c r="H34" s="7"/>
      <c r="I34" s="6"/>
      <c r="J34" s="9"/>
      <c r="K34" s="9"/>
    </row>
    <row r="35" spans="1:11" ht="15.75" customHeight="1">
      <c r="A35" s="8"/>
      <c r="B35" s="7"/>
      <c r="C35" s="7"/>
      <c r="D35" s="7"/>
      <c r="E35" s="7"/>
      <c r="F35" s="7"/>
      <c r="G35" s="7"/>
      <c r="H35" s="7"/>
      <c r="I35" s="6"/>
      <c r="J35" s="9"/>
      <c r="K35" s="9"/>
    </row>
    <row r="36" spans="1:11" ht="15.75" customHeight="1">
      <c r="A36" s="8"/>
      <c r="B36" s="7"/>
      <c r="C36" s="7"/>
      <c r="D36" s="7"/>
      <c r="E36" s="7"/>
      <c r="F36" s="7"/>
      <c r="G36" s="7"/>
      <c r="H36" s="7"/>
      <c r="I36" s="6"/>
      <c r="J36" s="9"/>
      <c r="K36" s="9"/>
    </row>
    <row r="37" spans="1:11" ht="15.75" customHeight="1">
      <c r="A37" s="8"/>
      <c r="B37" s="7"/>
      <c r="C37" s="7"/>
      <c r="D37" s="7"/>
      <c r="E37" s="7"/>
      <c r="F37" s="7"/>
      <c r="G37" s="7"/>
      <c r="H37" s="7"/>
      <c r="I37" s="6"/>
      <c r="J37" s="9"/>
      <c r="K37" s="9"/>
    </row>
    <row r="38" spans="1:11" ht="15.75" customHeight="1">
      <c r="A38" s="8"/>
      <c r="B38" s="7"/>
      <c r="C38" s="7"/>
      <c r="D38" s="7"/>
      <c r="E38" s="7"/>
      <c r="F38" s="7"/>
      <c r="G38" s="7"/>
      <c r="H38" s="7"/>
      <c r="I38" s="9"/>
      <c r="J38" s="9"/>
      <c r="K38" s="9"/>
    </row>
    <row r="39" spans="1:11" ht="15.75" customHeight="1">
      <c r="A39" s="8"/>
      <c r="B39" s="7"/>
      <c r="C39" s="7"/>
      <c r="D39" s="7"/>
      <c r="E39" s="7"/>
      <c r="F39" s="7"/>
      <c r="G39" s="7"/>
      <c r="H39" s="7"/>
      <c r="I39" s="9"/>
      <c r="J39" s="9"/>
      <c r="K39" s="9"/>
    </row>
    <row r="40" spans="1:11" ht="15.75" customHeight="1">
      <c r="A40" s="8"/>
      <c r="B40" s="7"/>
      <c r="C40" s="7"/>
      <c r="D40" s="7"/>
      <c r="E40" s="7"/>
      <c r="F40" s="7"/>
      <c r="G40" s="7"/>
      <c r="H40" s="7"/>
      <c r="I40" s="9"/>
      <c r="J40" s="9"/>
      <c r="K40" s="9"/>
    </row>
    <row r="41" spans="1:11" ht="15.75" customHeight="1">
      <c r="A41" s="8"/>
      <c r="B41" s="7"/>
      <c r="C41" s="7"/>
      <c r="D41" s="7"/>
      <c r="E41" s="7"/>
      <c r="F41" s="7"/>
      <c r="G41" s="7"/>
      <c r="H41" s="7"/>
      <c r="I41" s="9"/>
      <c r="J41" s="9"/>
      <c r="K41" s="9"/>
    </row>
    <row r="42" spans="1:11" ht="15.75" customHeight="1">
      <c r="A42" s="8"/>
      <c r="B42" s="7"/>
      <c r="C42" s="7"/>
      <c r="D42" s="7"/>
      <c r="E42" s="7"/>
      <c r="F42" s="7"/>
      <c r="G42" s="7"/>
      <c r="H42" s="7"/>
      <c r="I42" s="9"/>
      <c r="J42" s="9"/>
      <c r="K42" s="9"/>
    </row>
    <row r="43" spans="1:11" ht="15.75" customHeight="1">
      <c r="A43" s="8"/>
      <c r="B43" s="7"/>
      <c r="C43" s="7"/>
      <c r="D43" s="7"/>
      <c r="E43" s="7"/>
      <c r="F43" s="7"/>
      <c r="G43" s="7"/>
      <c r="H43" s="7"/>
      <c r="I43" s="9"/>
      <c r="J43" s="9"/>
      <c r="K43" s="9"/>
    </row>
    <row r="44" spans="1:11" ht="15.75" customHeight="1">
      <c r="A44" s="8"/>
      <c r="B44" s="7"/>
      <c r="C44" s="7"/>
      <c r="D44" s="7"/>
      <c r="E44" s="7"/>
      <c r="F44" s="7"/>
      <c r="G44" s="7"/>
      <c r="H44" s="7"/>
      <c r="I44" s="9"/>
      <c r="J44" s="9"/>
      <c r="K44" s="9"/>
    </row>
    <row r="45" spans="1:11" ht="15.75" customHeight="1">
      <c r="A45" s="8"/>
      <c r="B45" s="7"/>
      <c r="C45" s="7"/>
      <c r="D45" s="7"/>
      <c r="E45" s="7"/>
      <c r="F45" s="7"/>
      <c r="G45" s="7"/>
      <c r="H45" s="7"/>
      <c r="I45" s="9"/>
      <c r="J45" s="9"/>
      <c r="K45" s="9"/>
    </row>
    <row r="46" spans="1:11" ht="15.75" customHeight="1">
      <c r="A46" s="8"/>
      <c r="B46" s="7"/>
      <c r="C46" s="7"/>
      <c r="D46" s="7"/>
      <c r="E46" s="7"/>
      <c r="F46" s="7"/>
      <c r="G46" s="7"/>
      <c r="H46" s="7"/>
      <c r="I46" s="9"/>
      <c r="J46" s="9"/>
      <c r="K46" s="9"/>
    </row>
    <row r="47" spans="1:11" ht="15.75" customHeight="1">
      <c r="A47" s="8"/>
      <c r="B47" s="7"/>
      <c r="C47" s="7"/>
      <c r="D47" s="7"/>
      <c r="E47" s="7"/>
      <c r="F47" s="7"/>
      <c r="G47" s="7"/>
      <c r="H47" s="7"/>
      <c r="I47" s="9"/>
      <c r="J47" s="9"/>
      <c r="K47" s="9"/>
    </row>
    <row r="48" spans="1:11" ht="15.75" customHeight="1">
      <c r="A48" s="7"/>
      <c r="B48" s="7"/>
      <c r="C48" s="7"/>
      <c r="D48" s="7"/>
      <c r="E48" s="7"/>
      <c r="F48" s="7"/>
      <c r="G48" s="7"/>
      <c r="H48" s="7"/>
      <c r="I48" s="9"/>
      <c r="J48" s="9"/>
      <c r="K48" s="9"/>
    </row>
    <row r="49" spans="1:19" ht="15.75" customHeight="1">
      <c r="A49" s="7"/>
      <c r="B49" s="7"/>
      <c r="C49" s="7"/>
      <c r="D49" s="7"/>
      <c r="E49" s="7"/>
      <c r="F49" s="7"/>
      <c r="G49" s="7"/>
      <c r="H49" s="7"/>
      <c r="I49" s="6"/>
      <c r="J49" s="9"/>
      <c r="K49" s="9"/>
    </row>
    <row r="50" spans="1:19" ht="15.75" customHeight="1">
      <c r="I50" s="10"/>
    </row>
    <row r="51" spans="1:19" ht="15.75" customHeight="1"/>
    <row r="52" spans="1:19" ht="15.75" customHeight="1"/>
    <row r="53" spans="1:19" ht="15.75" customHeight="1"/>
    <row r="54" spans="1:19" ht="15.75" customHeight="1"/>
    <row r="55" spans="1:19" ht="15.75" customHeight="1">
      <c r="N55" s="7"/>
      <c r="O55" s="7"/>
      <c r="P55" s="7"/>
      <c r="Q55" s="7"/>
      <c r="R55" s="7"/>
      <c r="S55" s="7"/>
    </row>
    <row r="56" spans="1:19" ht="15.75" customHeight="1">
      <c r="N56" s="22"/>
      <c r="O56" s="22"/>
      <c r="P56" s="22"/>
      <c r="Q56" s="22"/>
      <c r="R56" s="22"/>
      <c r="S56" s="22"/>
    </row>
    <row r="57" spans="1:19" ht="15.75" customHeight="1"/>
    <row r="58" spans="1:19" ht="15.75" customHeight="1"/>
    <row r="59" spans="1:19" ht="15.75" customHeight="1"/>
    <row r="60" spans="1:19" ht="15.75" customHeight="1"/>
    <row r="61" spans="1:19" ht="15.75" customHeight="1"/>
    <row r="62" spans="1:19" ht="15.75" customHeight="1"/>
    <row r="63" spans="1:19" ht="15.75" customHeight="1"/>
    <row r="64" spans="1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G3:H3"/>
    <mergeCell ref="C3:D3"/>
    <mergeCell ref="E3:F3"/>
    <mergeCell ref="A5:A6"/>
    <mergeCell ref="B5:B6"/>
    <mergeCell ref="C5:C6"/>
    <mergeCell ref="D5:D6"/>
    <mergeCell ref="E5:E6"/>
    <mergeCell ref="I5:I6"/>
    <mergeCell ref="J5:J6"/>
    <mergeCell ref="K5:K6"/>
    <mergeCell ref="C4:D4"/>
    <mergeCell ref="E4:F4"/>
    <mergeCell ref="G4:H4"/>
    <mergeCell ref="F5:G5"/>
    <mergeCell ref="H5:H6"/>
    <mergeCell ref="N9:S9"/>
    <mergeCell ref="N10:P10"/>
    <mergeCell ref="Q10:S10"/>
    <mergeCell ref="Q5:Q6"/>
    <mergeCell ref="R5:R6"/>
    <mergeCell ref="S5:S6"/>
    <mergeCell ref="R7:R8"/>
    <mergeCell ref="S7:S8"/>
    <mergeCell ref="N5:N6"/>
    <mergeCell ref="O5:O6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20"/>
  <sheetViews>
    <sheetView workbookViewId="0">
      <selection activeCell="D9" sqref="D9"/>
    </sheetView>
  </sheetViews>
  <sheetFormatPr defaultRowHeight="15"/>
  <cols>
    <col min="1" max="1" width="10.140625" bestFit="1" customWidth="1"/>
  </cols>
  <sheetData>
    <row r="1" spans="1:11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1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108</v>
      </c>
    </row>
    <row r="3" spans="1:11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1">
      <c r="A4" s="2" t="s">
        <v>11</v>
      </c>
      <c r="B4" s="2" t="s">
        <v>38</v>
      </c>
      <c r="C4" s="500">
        <f>AVERAGEA(I7:I40)</f>
        <v>0.61798839458413923</v>
      </c>
      <c r="D4" s="501"/>
      <c r="E4" s="500">
        <f>AVERAGEA(J7:J40)</f>
        <v>10.909825870646765</v>
      </c>
      <c r="F4" s="501"/>
      <c r="G4" s="500">
        <f>AVERAGEA(K7:K40)</f>
        <v>1.3153879217709006</v>
      </c>
      <c r="H4" s="501"/>
      <c r="I4" s="3">
        <f>C4*K2</f>
        <v>66.742746615087043</v>
      </c>
      <c r="J4" s="3">
        <f>I4*E4</f>
        <v>728.15174369929844</v>
      </c>
      <c r="K4" s="3">
        <f>K2*G4</f>
        <v>142.06189555125727</v>
      </c>
    </row>
    <row r="5" spans="1:11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</row>
    <row r="6" spans="1:11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</row>
    <row r="7" spans="1:11">
      <c r="A7" s="28">
        <v>45720</v>
      </c>
      <c r="B7" s="29" t="s">
        <v>123</v>
      </c>
      <c r="C7" s="29" t="s">
        <v>65</v>
      </c>
      <c r="D7" s="29">
        <v>63</v>
      </c>
      <c r="E7" s="29">
        <v>3</v>
      </c>
      <c r="F7" s="29">
        <v>36</v>
      </c>
      <c r="G7" s="29">
        <v>369</v>
      </c>
      <c r="H7" s="29">
        <v>146</v>
      </c>
      <c r="I7" s="25">
        <f>F7/(D7+E7)</f>
        <v>0.54545454545454541</v>
      </c>
      <c r="J7" s="25">
        <f>G7/F7</f>
        <v>10.25</v>
      </c>
      <c r="K7" s="25">
        <f>H7/(D7+E7)</f>
        <v>2.2121212121212119</v>
      </c>
    </row>
    <row r="8" spans="1:11">
      <c r="A8" s="24">
        <v>45723</v>
      </c>
      <c r="B8" s="23" t="s">
        <v>123</v>
      </c>
      <c r="C8" s="23" t="s">
        <v>65</v>
      </c>
      <c r="D8" s="23">
        <v>89</v>
      </c>
      <c r="E8" s="23">
        <v>5</v>
      </c>
      <c r="F8" s="23">
        <v>56</v>
      </c>
      <c r="G8" s="23">
        <v>637</v>
      </c>
      <c r="H8" s="23">
        <v>94</v>
      </c>
      <c r="I8" s="25">
        <f>F8/(D8+E8)</f>
        <v>0.5957446808510638</v>
      </c>
      <c r="J8" s="25">
        <f>G8/F8</f>
        <v>11.375</v>
      </c>
      <c r="K8" s="25">
        <f>H8/(D8+E8)</f>
        <v>1</v>
      </c>
    </row>
    <row r="9" spans="1:11">
      <c r="A9" s="24">
        <v>45727</v>
      </c>
      <c r="B9" s="23">
        <v>772</v>
      </c>
      <c r="C9" s="23" t="s">
        <v>62</v>
      </c>
      <c r="D9" s="23">
        <v>93</v>
      </c>
      <c r="E9" s="23">
        <v>1</v>
      </c>
      <c r="F9" s="23">
        <v>67</v>
      </c>
      <c r="G9" s="23">
        <v>744</v>
      </c>
      <c r="H9" s="23">
        <v>69</v>
      </c>
      <c r="I9" s="25">
        <f>F9/(D9+E9)</f>
        <v>0.71276595744680848</v>
      </c>
      <c r="J9" s="25">
        <f>G9/F9</f>
        <v>11.104477611940299</v>
      </c>
      <c r="K9" s="25">
        <f>H9/(D9+E9)</f>
        <v>0.73404255319148937</v>
      </c>
    </row>
    <row r="10" spans="1:11">
      <c r="A10" s="24"/>
      <c r="B10" s="23"/>
      <c r="C10" s="23"/>
      <c r="D10" s="23"/>
      <c r="E10" s="23"/>
      <c r="F10" s="23"/>
      <c r="G10" s="23"/>
      <c r="H10" s="23"/>
      <c r="I10" s="25"/>
      <c r="J10" s="25"/>
      <c r="K10" s="25"/>
    </row>
    <row r="11" spans="1:11">
      <c r="A11" s="24"/>
      <c r="B11" s="23"/>
      <c r="C11" s="23"/>
      <c r="D11" s="23"/>
      <c r="E11" s="23"/>
      <c r="F11" s="23"/>
      <c r="G11" s="23"/>
      <c r="H11" s="23"/>
      <c r="I11" s="25"/>
      <c r="J11" s="25"/>
      <c r="K11" s="25"/>
    </row>
    <row r="12" spans="1:11">
      <c r="A12" s="24"/>
      <c r="B12" s="23"/>
      <c r="C12" s="23"/>
      <c r="D12" s="23"/>
      <c r="E12" s="23"/>
      <c r="F12" s="23"/>
      <c r="G12" s="23"/>
      <c r="H12" s="23"/>
      <c r="I12" s="25"/>
      <c r="J12" s="25"/>
      <c r="K12" s="25"/>
    </row>
    <row r="13" spans="1:11">
      <c r="A13" s="24"/>
      <c r="B13" s="23"/>
      <c r="C13" s="23"/>
      <c r="D13" s="23"/>
      <c r="E13" s="23"/>
      <c r="F13" s="23"/>
      <c r="G13" s="23"/>
      <c r="H13" s="23"/>
      <c r="I13" s="25"/>
      <c r="J13" s="25"/>
      <c r="K13" s="25"/>
    </row>
    <row r="14" spans="1:11">
      <c r="A14" s="24"/>
      <c r="B14" s="23"/>
      <c r="C14" s="23"/>
      <c r="D14" s="23"/>
      <c r="E14" s="23"/>
      <c r="F14" s="23"/>
      <c r="G14" s="23"/>
      <c r="H14" s="23"/>
      <c r="I14" s="25"/>
      <c r="J14" s="25"/>
      <c r="K14" s="25"/>
    </row>
    <row r="15" spans="1:11">
      <c r="A15" s="24"/>
      <c r="B15" s="23"/>
      <c r="C15" s="23"/>
      <c r="D15" s="23"/>
      <c r="E15" s="23"/>
      <c r="F15" s="23"/>
      <c r="G15" s="23"/>
      <c r="H15" s="23"/>
      <c r="I15" s="25"/>
      <c r="J15" s="25"/>
      <c r="K15" s="25"/>
    </row>
    <row r="16" spans="1:1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</row>
    <row r="17" spans="1:1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</row>
    <row r="18" spans="1:1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</row>
    <row r="19" spans="1:1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</row>
    <row r="20" spans="1:1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</row>
  </sheetData>
  <sheetProtection password="CC6F" sheet="1" objects="1" scenarios="1"/>
  <mergeCells count="23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A5:A6"/>
    <mergeCell ref="B5:B6"/>
    <mergeCell ref="C5:C6"/>
    <mergeCell ref="D5:D6"/>
    <mergeCell ref="E5:E6"/>
    <mergeCell ref="I5:I6"/>
    <mergeCell ref="J5:J6"/>
    <mergeCell ref="K5:K6"/>
    <mergeCell ref="C4:D4"/>
    <mergeCell ref="E4:F4"/>
    <mergeCell ref="G4:H4"/>
    <mergeCell ref="F5:G5"/>
    <mergeCell ref="H5:H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 codeName="Лист23"/>
  <dimension ref="A1:S23"/>
  <sheetViews>
    <sheetView workbookViewId="0">
      <selection activeCell="K4" sqref="K4"/>
    </sheetView>
  </sheetViews>
  <sheetFormatPr defaultRowHeight="15"/>
  <cols>
    <col min="1" max="1" width="10.140625" bestFit="1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192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11</v>
      </c>
      <c r="B4" s="2" t="s">
        <v>36</v>
      </c>
      <c r="C4" s="500">
        <f>AVERAGEA(I7:I16)</f>
        <v>0.90057232349735628</v>
      </c>
      <c r="D4" s="501"/>
      <c r="E4" s="500">
        <f>AVERAGEA(J7:J16)</f>
        <v>15.680858803986709</v>
      </c>
      <c r="F4" s="501"/>
      <c r="G4" s="500">
        <f>AVERAGEA(K7:K16)</f>
        <v>1.880901410524189</v>
      </c>
      <c r="H4" s="501"/>
      <c r="I4" s="3">
        <f>C4*K2</f>
        <v>172.9098861114924</v>
      </c>
      <c r="J4" s="3">
        <f>I4*E4</f>
        <v>2711.3755099277346</v>
      </c>
      <c r="K4" s="3">
        <f>K2*G4</f>
        <v>361.13307082064432</v>
      </c>
    </row>
    <row r="5" spans="1:19" ht="15" customHeight="1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  <c r="N6" s="492"/>
      <c r="O6" s="492"/>
      <c r="P6" s="492"/>
      <c r="Q6" s="492"/>
      <c r="R6" s="492"/>
      <c r="S6" s="492"/>
    </row>
    <row r="7" spans="1:19" ht="15.75">
      <c r="A7" s="28">
        <v>45418</v>
      </c>
      <c r="B7" s="29">
        <v>1433</v>
      </c>
      <c r="C7" s="29" t="s">
        <v>62</v>
      </c>
      <c r="D7" s="29">
        <v>88</v>
      </c>
      <c r="E7" s="29">
        <v>10</v>
      </c>
      <c r="F7" s="29">
        <v>86</v>
      </c>
      <c r="G7" s="29">
        <v>1388</v>
      </c>
      <c r="H7" s="29">
        <v>193</v>
      </c>
      <c r="I7" s="25">
        <f>F7/(D7+E7)</f>
        <v>0.87755102040816324</v>
      </c>
      <c r="J7" s="25">
        <f>G7/F7</f>
        <v>16.13953488372093</v>
      </c>
      <c r="K7" s="25">
        <f>H7/(D7+E7)</f>
        <v>1.9693877551020409</v>
      </c>
      <c r="N7" s="13" t="s">
        <v>49</v>
      </c>
      <c r="O7" s="14">
        <f>K2</f>
        <v>192</v>
      </c>
      <c r="P7" s="15">
        <f>I4</f>
        <v>172.9098861114924</v>
      </c>
      <c r="Q7" s="15">
        <f>J4</f>
        <v>2711.3755099277346</v>
      </c>
      <c r="R7" s="493">
        <f>Q7/P7</f>
        <v>15.680858803986709</v>
      </c>
      <c r="S7" s="493">
        <f>P7/O7</f>
        <v>0.90057232349735628</v>
      </c>
    </row>
    <row r="8" spans="1:19" ht="15.75">
      <c r="A8" s="24">
        <v>45425</v>
      </c>
      <c r="B8" s="23">
        <v>1433</v>
      </c>
      <c r="C8" s="23" t="s">
        <v>62</v>
      </c>
      <c r="D8" s="23">
        <v>117</v>
      </c>
      <c r="E8" s="23">
        <v>24</v>
      </c>
      <c r="F8" s="23">
        <v>129</v>
      </c>
      <c r="G8" s="23">
        <v>1902</v>
      </c>
      <c r="H8" s="23">
        <v>245</v>
      </c>
      <c r="I8" s="25">
        <f>F8/(D8+E8)</f>
        <v>0.91489361702127658</v>
      </c>
      <c r="J8" s="25">
        <f>G8/F8</f>
        <v>14.744186046511627</v>
      </c>
      <c r="K8" s="25">
        <f>H8/(D8+E8)</f>
        <v>1.7375886524822695</v>
      </c>
      <c r="N8" s="13" t="s">
        <v>50</v>
      </c>
      <c r="O8" s="14">
        <f>O7</f>
        <v>192</v>
      </c>
      <c r="P8" s="16">
        <f>O8*S7</f>
        <v>172.9098861114924</v>
      </c>
      <c r="Q8" s="16">
        <f>P8*R7</f>
        <v>2711.3755099277346</v>
      </c>
      <c r="R8" s="492"/>
      <c r="S8" s="492"/>
    </row>
    <row r="9" spans="1:19">
      <c r="A9" s="24">
        <v>45432</v>
      </c>
      <c r="B9" s="23">
        <v>1433</v>
      </c>
      <c r="C9" s="23" t="s">
        <v>62</v>
      </c>
      <c r="D9" s="23">
        <v>123</v>
      </c>
      <c r="E9" s="23">
        <v>33</v>
      </c>
      <c r="F9" s="23">
        <v>140</v>
      </c>
      <c r="G9" s="23">
        <v>2231</v>
      </c>
      <c r="H9" s="23">
        <v>313</v>
      </c>
      <c r="I9" s="25">
        <f>F9/(D9+E9)</f>
        <v>0.89743589743589747</v>
      </c>
      <c r="J9" s="25">
        <f>G9/F9</f>
        <v>15.935714285714285</v>
      </c>
      <c r="K9" s="25">
        <f>H9/(D9+E9)</f>
        <v>2.0064102564102564</v>
      </c>
      <c r="N9" s="494" t="s">
        <v>51</v>
      </c>
      <c r="O9" s="495"/>
      <c r="P9" s="495"/>
      <c r="Q9" s="495"/>
      <c r="R9" s="495"/>
      <c r="S9" s="496"/>
    </row>
    <row r="10" spans="1:19">
      <c r="A10" s="24">
        <v>45439</v>
      </c>
      <c r="B10" s="23">
        <v>1433</v>
      </c>
      <c r="C10" s="23" t="s">
        <v>62</v>
      </c>
      <c r="D10" s="23">
        <v>94</v>
      </c>
      <c r="E10" s="23">
        <v>43</v>
      </c>
      <c r="F10" s="23">
        <v>125</v>
      </c>
      <c r="G10" s="23">
        <v>1988</v>
      </c>
      <c r="H10" s="23">
        <v>248</v>
      </c>
      <c r="I10" s="25">
        <f>F10/(D10+E10)</f>
        <v>0.91240875912408759</v>
      </c>
      <c r="J10" s="25">
        <f>G10/F10</f>
        <v>15.904</v>
      </c>
      <c r="K10" s="25">
        <f>H10/(D10+E10)</f>
        <v>1.8102189781021898</v>
      </c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24"/>
      <c r="B11" s="23"/>
      <c r="C11" s="23"/>
      <c r="D11" s="23"/>
      <c r="E11" s="23"/>
      <c r="F11" s="23"/>
      <c r="G11" s="23"/>
      <c r="H11" s="23"/>
      <c r="I11" s="23"/>
      <c r="J11" s="23"/>
      <c r="K11" s="23"/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N12" s="17">
        <v>1</v>
      </c>
      <c r="O12" s="18">
        <v>0</v>
      </c>
      <c r="P12" s="19">
        <f>O12*R7</f>
        <v>0</v>
      </c>
      <c r="Q12" s="17">
        <v>3</v>
      </c>
      <c r="R12" s="18">
        <v>35</v>
      </c>
      <c r="S12" s="19">
        <f>R12*R7</f>
        <v>548.8300581395348</v>
      </c>
    </row>
    <row r="13" spans="1:19" ht="15.7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N13" s="17">
        <v>2</v>
      </c>
      <c r="O13" s="18">
        <v>0</v>
      </c>
      <c r="P13" s="19">
        <f>O13*R7</f>
        <v>0</v>
      </c>
      <c r="Q13" s="17">
        <v>4</v>
      </c>
      <c r="R13" s="18">
        <v>18</v>
      </c>
      <c r="S13" s="19">
        <f>R7*R13</f>
        <v>282.25545847176079</v>
      </c>
    </row>
    <row r="14" spans="1:19" ht="15.7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N14" s="17">
        <v>3</v>
      </c>
      <c r="O14" s="18">
        <v>1</v>
      </c>
      <c r="P14" s="19">
        <f>R7*O14</f>
        <v>15.680858803986709</v>
      </c>
      <c r="Q14" s="17">
        <v>5</v>
      </c>
      <c r="R14" s="18">
        <v>0</v>
      </c>
      <c r="S14" s="19">
        <f>R14*R7</f>
        <v>0</v>
      </c>
    </row>
    <row r="15" spans="1:19" ht="15.7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N15" s="17">
        <v>4</v>
      </c>
      <c r="O15" s="18">
        <v>0</v>
      </c>
      <c r="P15" s="19">
        <f>R7*O15</f>
        <v>0</v>
      </c>
      <c r="Q15" s="17">
        <v>1</v>
      </c>
      <c r="R15" s="18">
        <v>0</v>
      </c>
      <c r="S15" s="19">
        <f>R7*R15</f>
        <v>0</v>
      </c>
    </row>
    <row r="16" spans="1:19" ht="15.7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N16" s="17">
        <v>5</v>
      </c>
      <c r="O16" s="18">
        <v>0</v>
      </c>
      <c r="P16" s="19">
        <f>R7*O16</f>
        <v>0</v>
      </c>
      <c r="Q16" s="17"/>
      <c r="R16" s="18">
        <v>0</v>
      </c>
      <c r="S16" s="19">
        <f>R7*R16</f>
        <v>0</v>
      </c>
    </row>
    <row r="17" spans="14:19" ht="15.75">
      <c r="N17" s="17">
        <v>6</v>
      </c>
      <c r="O17" s="18">
        <v>0</v>
      </c>
      <c r="P17" s="19">
        <f>R7*O17</f>
        <v>0</v>
      </c>
      <c r="Q17" s="17"/>
      <c r="R17" s="18">
        <v>0</v>
      </c>
      <c r="S17" s="19">
        <f>R7*R17</f>
        <v>0</v>
      </c>
    </row>
    <row r="18" spans="14:19" ht="15.75">
      <c r="N18" s="17">
        <v>7</v>
      </c>
      <c r="O18" s="18">
        <v>0</v>
      </c>
      <c r="P18" s="19">
        <f>R7*O18</f>
        <v>0</v>
      </c>
      <c r="Q18" s="17"/>
      <c r="R18" s="18">
        <v>0</v>
      </c>
      <c r="S18" s="19">
        <f>R7*R18</f>
        <v>0</v>
      </c>
    </row>
    <row r="19" spans="14:19" ht="15.75">
      <c r="N19" s="17">
        <v>8</v>
      </c>
      <c r="O19" s="18">
        <v>30</v>
      </c>
      <c r="P19" s="19">
        <f>R7*O19</f>
        <v>470.42576411960124</v>
      </c>
      <c r="Q19" s="17"/>
      <c r="R19" s="18">
        <v>0</v>
      </c>
      <c r="S19" s="19">
        <f>R7*R19</f>
        <v>0</v>
      </c>
    </row>
    <row r="20" spans="14:19" ht="15.75">
      <c r="N20" s="17">
        <v>9</v>
      </c>
      <c r="O20" s="18">
        <v>50</v>
      </c>
      <c r="P20" s="19">
        <f>R7*O20</f>
        <v>784.04294019933548</v>
      </c>
      <c r="Q20" s="17"/>
      <c r="R20" s="18">
        <v>0</v>
      </c>
      <c r="S20" s="19">
        <f>R7*R20</f>
        <v>0</v>
      </c>
    </row>
    <row r="21" spans="14:19" ht="15.75">
      <c r="N21" s="20" t="s">
        <v>53</v>
      </c>
      <c r="O21" s="18">
        <v>50</v>
      </c>
      <c r="P21" s="19">
        <f>R7*O21</f>
        <v>784.04294019933548</v>
      </c>
      <c r="Q21" s="17"/>
      <c r="R21" s="18"/>
      <c r="S21" s="19">
        <f>R7*R21</f>
        <v>0</v>
      </c>
    </row>
    <row r="22" spans="14:19" ht="15.75">
      <c r="N22" s="13" t="s">
        <v>59</v>
      </c>
      <c r="O22" s="21">
        <f>P8-O12-O13-O14-O15-O16-O17-O18-O19-O20-O21</f>
        <v>41.909886111492398</v>
      </c>
      <c r="P22" s="21">
        <f>Q8-P12-P13-P14-P15-P16-P17-P18-P19-P20-P21</f>
        <v>657.1830066054755</v>
      </c>
      <c r="Q22" s="13" t="s">
        <v>59</v>
      </c>
      <c r="R22" s="21">
        <f>P8-R12-R13-R14-R15-R16-R17-R18-R19-R20-R21</f>
        <v>119.9098861114924</v>
      </c>
      <c r="S22" s="21">
        <f>Q8-S12-S13-S14-S15-S16-S17-S18-S19-S20-S21</f>
        <v>1880.289993316439</v>
      </c>
    </row>
    <row r="23" spans="14:19">
      <c r="N23" s="13" t="s">
        <v>60</v>
      </c>
      <c r="O23" s="16">
        <f>O12+O13+O14+O15+O16+O17+O18+O19+O20+O21</f>
        <v>131</v>
      </c>
      <c r="P23" s="16">
        <f>P12+P13+P14+P15+P16+P17+P18+P19+P20+P21</f>
        <v>2054.1925033222587</v>
      </c>
      <c r="Q23" s="13" t="s">
        <v>60</v>
      </c>
      <c r="R23" s="16">
        <f>R12+R13+R14+R15+R16+R17+R18+R19+R20+R21</f>
        <v>53</v>
      </c>
      <c r="S23" s="16">
        <f>S12+S13+S14+S15+S16+S17+S18+S19+S20+S21</f>
        <v>831.08551661129559</v>
      </c>
    </row>
  </sheetData>
  <sheetProtection password="CC6F" sheet="1" objects="1" scenarios="1"/>
  <mergeCells count="34">
    <mergeCell ref="S5:S6"/>
    <mergeCell ref="R7:R8"/>
    <mergeCell ref="S7:S8"/>
    <mergeCell ref="N9:S9"/>
    <mergeCell ref="N10:P10"/>
    <mergeCell ref="Q10:S10"/>
    <mergeCell ref="N5:N6"/>
    <mergeCell ref="O5:O6"/>
    <mergeCell ref="P5:P6"/>
    <mergeCell ref="Q5:Q6"/>
    <mergeCell ref="R5:R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A5:A6"/>
    <mergeCell ref="B5:B6"/>
    <mergeCell ref="C5:C6"/>
    <mergeCell ref="D5:D6"/>
    <mergeCell ref="E5:E6"/>
    <mergeCell ref="I5:I6"/>
    <mergeCell ref="J5:J6"/>
    <mergeCell ref="K5:K6"/>
    <mergeCell ref="C4:D4"/>
    <mergeCell ref="E4:F4"/>
    <mergeCell ref="G4:H4"/>
    <mergeCell ref="F5:G5"/>
    <mergeCell ref="H5:H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 codeName="Лист5"/>
  <dimension ref="A1:S1000"/>
  <sheetViews>
    <sheetView workbookViewId="0">
      <selection activeCell="K4" sqref="K4"/>
    </sheetView>
  </sheetViews>
  <sheetFormatPr defaultColWidth="14.42578125" defaultRowHeight="15" customHeight="1"/>
  <cols>
    <col min="1" max="1" width="10.140625" customWidth="1"/>
    <col min="2" max="8" width="8.7109375" customWidth="1"/>
    <col min="9" max="9" width="14" customWidth="1"/>
    <col min="10" max="10" width="15.5703125" customWidth="1"/>
    <col min="11" max="11" width="12.85546875" customWidth="1"/>
    <col min="12" max="13" width="8.7109375" customWidth="1"/>
    <col min="14" max="14" width="12" customWidth="1"/>
    <col min="15" max="15" width="11.5703125" customWidth="1"/>
    <col min="16" max="16" width="13.5703125" customWidth="1"/>
    <col min="17" max="17" width="12" customWidth="1"/>
    <col min="18" max="18" width="10.42578125" customWidth="1"/>
    <col min="19" max="19" width="12.7109375" customWidth="1"/>
    <col min="20" max="26" width="8.7109375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156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11</v>
      </c>
      <c r="B4" s="2" t="s">
        <v>27</v>
      </c>
      <c r="C4" s="500">
        <f>AVERAGEA(I7:I34)</f>
        <v>0.91173116756281047</v>
      </c>
      <c r="D4" s="501"/>
      <c r="E4" s="500">
        <f>AVERAGEA(J7:J34)</f>
        <v>15.50598093889233</v>
      </c>
      <c r="F4" s="501"/>
      <c r="G4" s="500">
        <f>AVERAGEA(K7:K34)</f>
        <v>3.4263236903956984</v>
      </c>
      <c r="H4" s="501"/>
      <c r="I4" s="3">
        <f>C4*K2</f>
        <v>142.23006213979843</v>
      </c>
      <c r="J4" s="3">
        <f>I4*E4</f>
        <v>2205.4166324771863</v>
      </c>
      <c r="K4" s="3">
        <f>K2*G4</f>
        <v>534.50649570172891</v>
      </c>
    </row>
    <row r="5" spans="1:19" ht="15" customHeight="1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2"/>
      <c r="B6" s="492"/>
      <c r="C6" s="492"/>
      <c r="D6" s="492"/>
      <c r="E6" s="492"/>
      <c r="F6" s="4" t="s">
        <v>20</v>
      </c>
      <c r="G6" s="5" t="s">
        <v>21</v>
      </c>
      <c r="H6" s="492"/>
      <c r="I6" s="492"/>
      <c r="J6" s="492"/>
      <c r="K6" s="492"/>
      <c r="N6" s="492"/>
      <c r="O6" s="492"/>
      <c r="P6" s="492"/>
      <c r="Q6" s="492"/>
      <c r="R6" s="492"/>
      <c r="S6" s="492"/>
    </row>
    <row r="7" spans="1:19" ht="15.75">
      <c r="A7" s="11">
        <v>45422</v>
      </c>
      <c r="B7" s="12">
        <v>1429</v>
      </c>
      <c r="C7" s="12" t="s">
        <v>74</v>
      </c>
      <c r="D7" s="12">
        <v>109</v>
      </c>
      <c r="E7" s="12">
        <v>10</v>
      </c>
      <c r="F7" s="12">
        <v>110</v>
      </c>
      <c r="G7" s="12">
        <v>1659</v>
      </c>
      <c r="H7" s="12">
        <v>465</v>
      </c>
      <c r="I7" s="6">
        <f>F7/(D7+E7)</f>
        <v>0.92436974789915971</v>
      </c>
      <c r="J7" s="6">
        <f>G7/F7</f>
        <v>15.081818181818182</v>
      </c>
      <c r="K7" s="6">
        <f>H7/(D7+E7)</f>
        <v>3.9075630252100839</v>
      </c>
      <c r="N7" s="13" t="s">
        <v>49</v>
      </c>
      <c r="O7" s="14">
        <f>K2</f>
        <v>156</v>
      </c>
      <c r="P7" s="15">
        <f>I4</f>
        <v>142.23006213979843</v>
      </c>
      <c r="Q7" s="15">
        <f>J4</f>
        <v>2205.4166324771863</v>
      </c>
      <c r="R7" s="493">
        <f>Q7/P7</f>
        <v>15.505980938892332</v>
      </c>
      <c r="S7" s="493">
        <f>P7/O7</f>
        <v>0.91173116756281047</v>
      </c>
    </row>
    <row r="8" spans="1:19" ht="15.75">
      <c r="A8" s="11">
        <v>45429</v>
      </c>
      <c r="B8" s="12">
        <v>1429</v>
      </c>
      <c r="C8" s="12" t="s">
        <v>74</v>
      </c>
      <c r="D8" s="12">
        <v>73</v>
      </c>
      <c r="E8" s="12">
        <v>14</v>
      </c>
      <c r="F8" s="12">
        <v>79</v>
      </c>
      <c r="G8" s="12">
        <v>1231</v>
      </c>
      <c r="H8" s="12">
        <v>248</v>
      </c>
      <c r="I8" s="6">
        <f>F8/(D8+E8)</f>
        <v>0.90804597701149425</v>
      </c>
      <c r="J8" s="6">
        <f>G8/F8</f>
        <v>15.582278481012658</v>
      </c>
      <c r="K8" s="6">
        <f>H8/(D8+E8)</f>
        <v>2.8505747126436782</v>
      </c>
      <c r="N8" s="13" t="s">
        <v>50</v>
      </c>
      <c r="O8" s="14">
        <f>O7</f>
        <v>156</v>
      </c>
      <c r="P8" s="16">
        <f>O8*S7</f>
        <v>142.23006213979843</v>
      </c>
      <c r="Q8" s="16">
        <f>P8*R7</f>
        <v>2205.4166324771863</v>
      </c>
      <c r="R8" s="492"/>
      <c r="S8" s="492"/>
    </row>
    <row r="9" spans="1:19">
      <c r="A9" s="11">
        <v>45436</v>
      </c>
      <c r="B9" s="12">
        <v>1429</v>
      </c>
      <c r="C9" s="12" t="s">
        <v>74</v>
      </c>
      <c r="D9" s="12">
        <v>120</v>
      </c>
      <c r="E9" s="12">
        <v>24</v>
      </c>
      <c r="F9" s="12">
        <v>130</v>
      </c>
      <c r="G9" s="12">
        <v>2061</v>
      </c>
      <c r="H9" s="12">
        <v>507</v>
      </c>
      <c r="I9" s="6">
        <f>F9/(D9+E9)</f>
        <v>0.90277777777777779</v>
      </c>
      <c r="J9" s="6">
        <f>G9/F9</f>
        <v>15.853846153846154</v>
      </c>
      <c r="K9" s="6">
        <f>H9/(D9+E9)</f>
        <v>3.5208333333333335</v>
      </c>
      <c r="N9" s="494" t="s">
        <v>51</v>
      </c>
      <c r="O9" s="495"/>
      <c r="P9" s="495"/>
      <c r="Q9" s="495"/>
      <c r="R9" s="495"/>
      <c r="S9" s="496"/>
    </row>
    <row r="10" spans="1:19">
      <c r="A10" s="11"/>
      <c r="B10" s="12"/>
      <c r="C10" s="12"/>
      <c r="D10" s="12"/>
      <c r="E10" s="12"/>
      <c r="F10" s="12"/>
      <c r="G10" s="12"/>
      <c r="H10" s="12"/>
      <c r="I10" s="6"/>
      <c r="J10" s="6"/>
      <c r="K10" s="6"/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11"/>
      <c r="B11" s="12"/>
      <c r="C11" s="12"/>
      <c r="D11" s="12"/>
      <c r="E11" s="12"/>
      <c r="F11" s="12"/>
      <c r="G11" s="12"/>
      <c r="H11" s="12"/>
      <c r="I11" s="6"/>
      <c r="J11" s="6"/>
      <c r="K11" s="6"/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11"/>
      <c r="B12" s="12"/>
      <c r="C12" s="12"/>
      <c r="D12" s="12"/>
      <c r="E12" s="12"/>
      <c r="F12" s="12"/>
      <c r="G12" s="12"/>
      <c r="H12" s="12"/>
      <c r="I12" s="6"/>
      <c r="J12" s="6"/>
      <c r="K12" s="6"/>
      <c r="N12" s="17">
        <v>1</v>
      </c>
      <c r="O12" s="18">
        <v>0</v>
      </c>
      <c r="P12" s="19">
        <f>O12*R7</f>
        <v>0</v>
      </c>
      <c r="Q12" s="17">
        <v>3</v>
      </c>
      <c r="R12" s="18">
        <v>40</v>
      </c>
      <c r="S12" s="19">
        <f>R12*R7</f>
        <v>620.23923755569331</v>
      </c>
    </row>
    <row r="13" spans="1:19" ht="15.75">
      <c r="A13" s="11"/>
      <c r="B13" s="12"/>
      <c r="C13" s="12"/>
      <c r="D13" s="12"/>
      <c r="E13" s="12"/>
      <c r="F13" s="12"/>
      <c r="G13" s="12"/>
      <c r="H13" s="12"/>
      <c r="I13" s="6"/>
      <c r="J13" s="6"/>
      <c r="K13" s="6"/>
      <c r="N13" s="17">
        <v>2</v>
      </c>
      <c r="O13" s="18">
        <v>0</v>
      </c>
      <c r="P13" s="19">
        <f>O13*R7</f>
        <v>0</v>
      </c>
      <c r="Q13" s="17">
        <v>4</v>
      </c>
      <c r="R13" s="18">
        <v>114</v>
      </c>
      <c r="S13" s="19">
        <f>R7*R13</f>
        <v>1767.6818270337258</v>
      </c>
    </row>
    <row r="14" spans="1:19" ht="15.75">
      <c r="A14" s="11"/>
      <c r="B14" s="12"/>
      <c r="C14" s="12"/>
      <c r="D14" s="12"/>
      <c r="E14" s="12"/>
      <c r="F14" s="12"/>
      <c r="G14" s="12"/>
      <c r="H14" s="12"/>
      <c r="I14" s="6"/>
      <c r="J14" s="6"/>
      <c r="K14" s="6"/>
      <c r="N14" s="17">
        <v>3</v>
      </c>
      <c r="O14" s="18">
        <v>1</v>
      </c>
      <c r="P14" s="19">
        <f>R7*O14</f>
        <v>15.505980938892332</v>
      </c>
      <c r="Q14" s="17">
        <v>5</v>
      </c>
      <c r="R14" s="18">
        <v>0</v>
      </c>
      <c r="S14" s="19">
        <f>R14*R7</f>
        <v>0</v>
      </c>
    </row>
    <row r="15" spans="1:19" ht="15.75">
      <c r="A15" s="11"/>
      <c r="B15" s="12"/>
      <c r="C15" s="12"/>
      <c r="D15" s="12"/>
      <c r="E15" s="12"/>
      <c r="F15" s="12"/>
      <c r="G15" s="12"/>
      <c r="H15" s="12"/>
      <c r="I15" s="6"/>
      <c r="J15" s="9"/>
      <c r="K15" s="9"/>
      <c r="N15" s="17">
        <v>4</v>
      </c>
      <c r="O15" s="18">
        <v>0</v>
      </c>
      <c r="P15" s="19">
        <f>R7*O15</f>
        <v>0</v>
      </c>
      <c r="Q15" s="17">
        <v>1</v>
      </c>
      <c r="R15" s="18">
        <v>0</v>
      </c>
      <c r="S15" s="19">
        <f>R7*R15</f>
        <v>0</v>
      </c>
    </row>
    <row r="16" spans="1:19" ht="15.75">
      <c r="A16" s="11"/>
      <c r="B16" s="12"/>
      <c r="C16" s="12"/>
      <c r="D16" s="12"/>
      <c r="E16" s="12"/>
      <c r="F16" s="12"/>
      <c r="G16" s="12"/>
      <c r="H16" s="12"/>
      <c r="I16" s="6"/>
      <c r="J16" s="9"/>
      <c r="K16" s="9"/>
      <c r="N16" s="17">
        <v>5</v>
      </c>
      <c r="O16" s="18">
        <v>0</v>
      </c>
      <c r="P16" s="19">
        <f>R7*O16</f>
        <v>0</v>
      </c>
      <c r="Q16" s="17"/>
      <c r="R16" s="18">
        <v>0</v>
      </c>
      <c r="S16" s="19">
        <f>R7*R16</f>
        <v>0</v>
      </c>
    </row>
    <row r="17" spans="1:19" ht="15.75">
      <c r="A17" s="11"/>
      <c r="B17" s="12"/>
      <c r="C17" s="12"/>
      <c r="D17" s="12"/>
      <c r="E17" s="12"/>
      <c r="F17" s="12"/>
      <c r="G17" s="12"/>
      <c r="H17" s="12"/>
      <c r="I17" s="6"/>
      <c r="J17" s="9"/>
      <c r="K17" s="9"/>
      <c r="N17" s="17">
        <v>6</v>
      </c>
      <c r="O17" s="18">
        <v>0</v>
      </c>
      <c r="P17" s="19">
        <f>R7*O17</f>
        <v>0</v>
      </c>
      <c r="Q17" s="17"/>
      <c r="R17" s="18">
        <v>0</v>
      </c>
      <c r="S17" s="19">
        <f>R7*R17</f>
        <v>0</v>
      </c>
    </row>
    <row r="18" spans="1:19" ht="15.75">
      <c r="A18" s="11"/>
      <c r="B18" s="12"/>
      <c r="C18" s="12"/>
      <c r="D18" s="12"/>
      <c r="E18" s="12"/>
      <c r="F18" s="12"/>
      <c r="G18" s="12"/>
      <c r="H18" s="12"/>
      <c r="I18" s="6"/>
      <c r="J18" s="9"/>
      <c r="K18" s="9"/>
      <c r="N18" s="17">
        <v>7</v>
      </c>
      <c r="O18" s="18">
        <v>0</v>
      </c>
      <c r="P18" s="19">
        <f>R7*O18</f>
        <v>0</v>
      </c>
      <c r="Q18" s="17"/>
      <c r="R18" s="18">
        <v>0</v>
      </c>
      <c r="S18" s="19">
        <f>R7*R18</f>
        <v>0</v>
      </c>
    </row>
    <row r="19" spans="1:19" ht="15.75">
      <c r="A19" s="11"/>
      <c r="B19" s="12"/>
      <c r="C19" s="12"/>
      <c r="D19" s="12"/>
      <c r="E19" s="12"/>
      <c r="F19" s="12"/>
      <c r="G19" s="12"/>
      <c r="H19" s="12"/>
      <c r="I19" s="6"/>
      <c r="J19" s="9"/>
      <c r="K19" s="9"/>
      <c r="N19" s="17">
        <v>8</v>
      </c>
      <c r="O19" s="18">
        <v>30</v>
      </c>
      <c r="P19" s="19">
        <f>R7*O19</f>
        <v>465.17942816676998</v>
      </c>
      <c r="Q19" s="17"/>
      <c r="R19" s="18">
        <v>0</v>
      </c>
      <c r="S19" s="19">
        <f>R7*R19</f>
        <v>0</v>
      </c>
    </row>
    <row r="20" spans="1:19" ht="15.75">
      <c r="A20" s="11"/>
      <c r="B20" s="12"/>
      <c r="C20" s="12"/>
      <c r="D20" s="12"/>
      <c r="E20" s="12"/>
      <c r="F20" s="12"/>
      <c r="G20" s="12"/>
      <c r="H20" s="12"/>
      <c r="I20" s="6"/>
      <c r="J20" s="9"/>
      <c r="K20" s="9"/>
      <c r="N20" s="17">
        <v>9</v>
      </c>
      <c r="O20" s="18">
        <v>50</v>
      </c>
      <c r="P20" s="19">
        <f>R7*O20</f>
        <v>775.29904694461663</v>
      </c>
      <c r="Q20" s="17"/>
      <c r="R20" s="18">
        <v>0</v>
      </c>
      <c r="S20" s="19">
        <f>R7*R20</f>
        <v>0</v>
      </c>
    </row>
    <row r="21" spans="1:19" ht="15.75" customHeight="1">
      <c r="A21" s="11"/>
      <c r="B21" s="12"/>
      <c r="C21" s="12"/>
      <c r="D21" s="12"/>
      <c r="E21" s="12"/>
      <c r="F21" s="12"/>
      <c r="G21" s="12"/>
      <c r="H21" s="12"/>
      <c r="I21" s="6"/>
      <c r="J21" s="9"/>
      <c r="K21" s="9"/>
      <c r="N21" s="20" t="s">
        <v>53</v>
      </c>
      <c r="O21" s="18">
        <v>50</v>
      </c>
      <c r="P21" s="19">
        <f>R7*O21</f>
        <v>775.29904694461663</v>
      </c>
      <c r="Q21" s="17"/>
      <c r="R21" s="18"/>
      <c r="S21" s="19">
        <f>R7*R21</f>
        <v>0</v>
      </c>
    </row>
    <row r="22" spans="1:19" ht="15.75" customHeight="1">
      <c r="A22" s="11"/>
      <c r="B22" s="12"/>
      <c r="C22" s="12"/>
      <c r="D22" s="12"/>
      <c r="E22" s="12"/>
      <c r="F22" s="12"/>
      <c r="G22" s="12"/>
      <c r="H22" s="12"/>
      <c r="I22" s="6"/>
      <c r="J22" s="9"/>
      <c r="K22" s="9"/>
      <c r="N22" s="13" t="s">
        <v>59</v>
      </c>
      <c r="O22" s="21">
        <f>P8-O12-O13-O14-O15-O16-O17-O18-O19-O20-O21</f>
        <v>11.230062139798434</v>
      </c>
      <c r="P22" s="21">
        <f>Q8-P12-P13-P14-P15-P16-P17-P18-P19-P20-P21</f>
        <v>174.133129482291</v>
      </c>
      <c r="Q22" s="13" t="s">
        <v>59</v>
      </c>
      <c r="R22" s="21">
        <f>P8-R12-R13-R14-R15-R16-R17-R18-R19-R20-R21</f>
        <v>-11.769937860201566</v>
      </c>
      <c r="S22" s="21">
        <f>Q8-S12-S13-S14-S15-S16-S17-S18-S19-S20-S21</f>
        <v>-182.50443211223273</v>
      </c>
    </row>
    <row r="23" spans="1:19" ht="15.75" customHeight="1">
      <c r="A23" s="11"/>
      <c r="B23" s="12"/>
      <c r="C23" s="12"/>
      <c r="D23" s="12"/>
      <c r="E23" s="12"/>
      <c r="F23" s="12"/>
      <c r="G23" s="12"/>
      <c r="H23" s="12"/>
      <c r="I23" s="9"/>
      <c r="J23" s="9"/>
      <c r="K23" s="9"/>
      <c r="N23" s="13" t="s">
        <v>60</v>
      </c>
      <c r="O23" s="16">
        <f>O12+O13+O14+O15+O16+O17+O18+O19+O20+O21</f>
        <v>131</v>
      </c>
      <c r="P23" s="16">
        <f>P12+P13+P14+P15+P16+P17+P18+P19+P20+P21</f>
        <v>2031.2835029948956</v>
      </c>
      <c r="Q23" s="13" t="s">
        <v>60</v>
      </c>
      <c r="R23" s="16">
        <f>R12+R13+R14+R15+R16+R17+R18+R19+R20+R21</f>
        <v>154</v>
      </c>
      <c r="S23" s="16">
        <f>S12+S13+S14+S15+S16+S17+S18+S19+S20+S21</f>
        <v>2387.9210645894191</v>
      </c>
    </row>
    <row r="24" spans="1:19" ht="15.75" customHeight="1">
      <c r="A24" s="11"/>
      <c r="B24" s="12"/>
      <c r="C24" s="12"/>
      <c r="D24" s="12"/>
      <c r="E24" s="12"/>
      <c r="F24" s="12"/>
      <c r="G24" s="12"/>
      <c r="H24" s="12"/>
      <c r="I24" s="9"/>
      <c r="J24" s="9"/>
      <c r="K24" s="9"/>
    </row>
    <row r="25" spans="1:19" ht="15.75" customHeight="1">
      <c r="A25" s="11"/>
      <c r="B25" s="12"/>
      <c r="C25" s="12"/>
      <c r="D25" s="12"/>
      <c r="E25" s="12"/>
      <c r="F25" s="12"/>
      <c r="G25" s="12"/>
      <c r="H25" s="12"/>
      <c r="I25" s="9"/>
      <c r="J25" s="9"/>
      <c r="K25" s="9"/>
    </row>
    <row r="26" spans="1:19" ht="15.75" customHeight="1">
      <c r="A26" s="11"/>
      <c r="B26" s="12"/>
      <c r="C26" s="12"/>
      <c r="D26" s="12"/>
      <c r="E26" s="12"/>
      <c r="F26" s="12"/>
      <c r="G26" s="12"/>
      <c r="H26" s="12"/>
      <c r="I26" s="9"/>
      <c r="J26" s="9"/>
      <c r="K26" s="9"/>
    </row>
    <row r="27" spans="1:19" ht="15.75" customHeight="1">
      <c r="A27" s="11"/>
      <c r="B27" s="12"/>
      <c r="C27" s="12"/>
      <c r="D27" s="12"/>
      <c r="E27" s="12"/>
      <c r="F27" s="12"/>
      <c r="G27" s="12"/>
      <c r="H27" s="12"/>
      <c r="I27" s="9"/>
      <c r="J27" s="9"/>
      <c r="K27" s="9"/>
    </row>
    <row r="28" spans="1:19" ht="15.75" customHeight="1">
      <c r="A28" s="11"/>
      <c r="B28" s="12"/>
      <c r="C28" s="12"/>
      <c r="D28" s="12"/>
      <c r="E28" s="12"/>
      <c r="F28" s="12"/>
      <c r="G28" s="12"/>
      <c r="H28" s="12"/>
      <c r="I28" s="9"/>
      <c r="J28" s="9"/>
      <c r="K28" s="9"/>
    </row>
    <row r="29" spans="1:19" ht="15.75" customHeight="1">
      <c r="A29" s="11"/>
      <c r="B29" s="12"/>
      <c r="C29" s="12"/>
      <c r="D29" s="12"/>
      <c r="E29" s="12"/>
      <c r="F29" s="12"/>
      <c r="G29" s="12"/>
      <c r="H29" s="12"/>
      <c r="I29" s="9"/>
      <c r="J29" s="9"/>
      <c r="K29" s="9"/>
    </row>
    <row r="30" spans="1:19" ht="15.75" customHeight="1">
      <c r="A30" s="11"/>
      <c r="B30" s="12"/>
      <c r="C30" s="12"/>
      <c r="D30" s="12"/>
      <c r="E30" s="12"/>
      <c r="F30" s="12"/>
      <c r="G30" s="12"/>
      <c r="H30" s="12"/>
      <c r="I30" s="9"/>
      <c r="J30" s="9"/>
      <c r="K30" s="9"/>
    </row>
    <row r="31" spans="1:19" ht="15.75" customHeight="1">
      <c r="A31" s="11"/>
      <c r="B31" s="12"/>
      <c r="C31" s="12"/>
      <c r="D31" s="12"/>
      <c r="E31" s="12"/>
      <c r="F31" s="12"/>
      <c r="G31" s="12"/>
      <c r="H31" s="12"/>
      <c r="I31" s="9"/>
      <c r="J31" s="9"/>
      <c r="K31" s="9"/>
    </row>
    <row r="32" spans="1:19" ht="15.75" customHeight="1">
      <c r="A32" s="11"/>
      <c r="B32" s="12"/>
      <c r="C32" s="12"/>
      <c r="D32" s="12"/>
      <c r="E32" s="12"/>
      <c r="F32" s="12"/>
      <c r="G32" s="12"/>
      <c r="H32" s="12"/>
      <c r="I32" s="9"/>
      <c r="J32" s="9"/>
      <c r="K32" s="9"/>
    </row>
    <row r="33" spans="1:11" ht="15.75" customHeight="1">
      <c r="A33" s="7"/>
      <c r="B33" s="7"/>
      <c r="C33" s="7"/>
      <c r="D33" s="7"/>
      <c r="E33" s="7"/>
      <c r="F33" s="7"/>
      <c r="G33" s="7"/>
      <c r="H33" s="7"/>
      <c r="I33" s="9"/>
      <c r="J33" s="9"/>
      <c r="K33" s="9"/>
    </row>
    <row r="34" spans="1:11" ht="15.75" customHeight="1">
      <c r="A34" s="7"/>
      <c r="B34" s="7"/>
      <c r="C34" s="7"/>
      <c r="D34" s="7"/>
      <c r="E34" s="7"/>
      <c r="F34" s="7"/>
      <c r="G34" s="7"/>
      <c r="H34" s="7"/>
      <c r="I34" s="6"/>
      <c r="J34" s="9"/>
      <c r="K34" s="9"/>
    </row>
    <row r="35" spans="1:11" ht="15.75" customHeight="1">
      <c r="I35" s="10"/>
    </row>
    <row r="36" spans="1:11" ht="15.75" customHeight="1"/>
    <row r="37" spans="1:11" ht="15.75" customHeight="1"/>
    <row r="38" spans="1:11" ht="15.75" customHeight="1"/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7"/>
      <c r="O55" s="7"/>
      <c r="P55" s="7"/>
      <c r="Q55" s="7"/>
      <c r="R55" s="7"/>
      <c r="S55" s="7"/>
    </row>
    <row r="56" spans="14:19" ht="15.75" customHeight="1">
      <c r="N56" s="22"/>
      <c r="O56" s="22"/>
      <c r="P56" s="22"/>
      <c r="Q56" s="22"/>
      <c r="R56" s="22"/>
      <c r="S56" s="2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O5:O6"/>
    <mergeCell ref="N10:P10"/>
    <mergeCell ref="Q10:S10"/>
    <mergeCell ref="Q5:Q6"/>
    <mergeCell ref="R5:R6"/>
    <mergeCell ref="S5:S6"/>
    <mergeCell ref="R7:R8"/>
    <mergeCell ref="S7:S8"/>
    <mergeCell ref="N9:S9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sheetPr codeName="Лист6"/>
  <dimension ref="A1:S1000"/>
  <sheetViews>
    <sheetView topLeftCell="A2" workbookViewId="0">
      <selection activeCell="K7" sqref="K7"/>
    </sheetView>
  </sheetViews>
  <sheetFormatPr defaultColWidth="14.42578125" defaultRowHeight="15" customHeight="1"/>
  <cols>
    <col min="1" max="1" width="10.140625" customWidth="1"/>
    <col min="2" max="8" width="8.7109375" customWidth="1"/>
    <col min="9" max="9" width="14" customWidth="1"/>
    <col min="10" max="10" width="15.5703125" customWidth="1"/>
    <col min="11" max="11" width="12.85546875" customWidth="1"/>
    <col min="12" max="13" width="8.7109375" customWidth="1"/>
    <col min="14" max="14" width="12" customWidth="1"/>
    <col min="15" max="15" width="11.5703125" customWidth="1"/>
    <col min="16" max="16" width="13.5703125" customWidth="1"/>
    <col min="17" max="17" width="12" customWidth="1"/>
    <col min="18" max="18" width="10.42578125" customWidth="1"/>
    <col min="19" max="19" width="12.7109375" customWidth="1"/>
    <col min="20" max="26" width="8.7109375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185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28</v>
      </c>
      <c r="B4" s="2" t="s">
        <v>29</v>
      </c>
      <c r="C4" s="500">
        <f>AVERAGEA(I7:I24)</f>
        <v>0.87975851117595893</v>
      </c>
      <c r="D4" s="501"/>
      <c r="E4" s="500">
        <f>AVERAGEA(J7:J24)</f>
        <v>15.933204163430357</v>
      </c>
      <c r="F4" s="501"/>
      <c r="G4" s="500">
        <f>AVERAGEA(K7:K24)</f>
        <v>1.8411709894721879</v>
      </c>
      <c r="H4" s="501"/>
      <c r="I4" s="3">
        <f>C4*K2</f>
        <v>162.75532456755241</v>
      </c>
      <c r="J4" s="3">
        <f>I4*E4</f>
        <v>2593.2138150201849</v>
      </c>
      <c r="K4" s="3">
        <f>K2*G4</f>
        <v>340.61663305235476</v>
      </c>
    </row>
    <row r="5" spans="1:19" ht="15" customHeight="1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  <c r="N6" s="492"/>
      <c r="O6" s="492"/>
      <c r="P6" s="492"/>
      <c r="Q6" s="492"/>
      <c r="R6" s="492"/>
      <c r="S6" s="492"/>
    </row>
    <row r="7" spans="1:19" ht="15.75">
      <c r="A7" s="28">
        <v>45352</v>
      </c>
      <c r="B7" s="29">
        <v>1452</v>
      </c>
      <c r="C7" s="29" t="s">
        <v>62</v>
      </c>
      <c r="D7" s="29">
        <v>173</v>
      </c>
      <c r="E7" s="29">
        <v>8</v>
      </c>
      <c r="F7" s="29">
        <v>163</v>
      </c>
      <c r="G7" s="29">
        <v>2727</v>
      </c>
      <c r="H7" s="29">
        <v>839</v>
      </c>
      <c r="I7" s="25">
        <f t="shared" ref="I7:I15" si="0">F7/(D7+E7)</f>
        <v>0.90055248618784534</v>
      </c>
      <c r="J7" s="25">
        <f t="shared" ref="J7:J15" si="1">G7/F7</f>
        <v>16.730061349693251</v>
      </c>
      <c r="K7" s="25">
        <f t="shared" ref="K7:K15" si="2">H7/(D7+E7)</f>
        <v>4.6353591160220997</v>
      </c>
      <c r="N7" s="13" t="s">
        <v>49</v>
      </c>
      <c r="O7" s="14">
        <f>K2</f>
        <v>185</v>
      </c>
      <c r="P7" s="15">
        <f>I4</f>
        <v>162.75532456755241</v>
      </c>
      <c r="Q7" s="15">
        <f>J4</f>
        <v>2593.2138150201849</v>
      </c>
      <c r="R7" s="493">
        <f>Q7/P7</f>
        <v>15.933204163430355</v>
      </c>
      <c r="S7" s="493">
        <f>P7/O7</f>
        <v>0.87975851117595893</v>
      </c>
    </row>
    <row r="8" spans="1:19" ht="15.75">
      <c r="A8" s="24">
        <v>45356</v>
      </c>
      <c r="B8" s="23">
        <v>1452</v>
      </c>
      <c r="C8" s="23" t="s">
        <v>61</v>
      </c>
      <c r="D8" s="23">
        <v>203</v>
      </c>
      <c r="E8" s="23">
        <v>16</v>
      </c>
      <c r="F8" s="23">
        <v>195</v>
      </c>
      <c r="G8" s="23">
        <v>3151</v>
      </c>
      <c r="H8" s="23">
        <v>364</v>
      </c>
      <c r="I8" s="25">
        <f t="shared" si="0"/>
        <v>0.8904109589041096</v>
      </c>
      <c r="J8" s="25">
        <f t="shared" si="1"/>
        <v>16.158974358974358</v>
      </c>
      <c r="K8" s="25">
        <f t="shared" si="2"/>
        <v>1.6621004566210045</v>
      </c>
      <c r="N8" s="13" t="s">
        <v>50</v>
      </c>
      <c r="O8" s="14">
        <f>O7</f>
        <v>185</v>
      </c>
      <c r="P8" s="16">
        <f>O8*S7</f>
        <v>162.75532456755241</v>
      </c>
      <c r="Q8" s="16">
        <f>P8*R7</f>
        <v>2593.2138150201849</v>
      </c>
      <c r="R8" s="492"/>
      <c r="S8" s="492"/>
    </row>
    <row r="9" spans="1:19">
      <c r="A9" s="24">
        <v>45359</v>
      </c>
      <c r="B9" s="23">
        <v>1452</v>
      </c>
      <c r="C9" s="23" t="s">
        <v>62</v>
      </c>
      <c r="D9" s="23">
        <v>183</v>
      </c>
      <c r="E9" s="23">
        <v>3</v>
      </c>
      <c r="F9" s="23">
        <v>162</v>
      </c>
      <c r="G9" s="23">
        <v>2657</v>
      </c>
      <c r="H9" s="23">
        <v>140</v>
      </c>
      <c r="I9" s="25">
        <f t="shared" si="0"/>
        <v>0.87096774193548387</v>
      </c>
      <c r="J9" s="25">
        <f t="shared" si="1"/>
        <v>16.401234567901234</v>
      </c>
      <c r="K9" s="25">
        <f t="shared" si="2"/>
        <v>0.75268817204301075</v>
      </c>
      <c r="N9" s="494" t="s">
        <v>51</v>
      </c>
      <c r="O9" s="495"/>
      <c r="P9" s="495"/>
      <c r="Q9" s="495"/>
      <c r="R9" s="495"/>
      <c r="S9" s="496"/>
    </row>
    <row r="10" spans="1:19">
      <c r="A10" s="24">
        <v>45363</v>
      </c>
      <c r="B10" s="23">
        <v>1452</v>
      </c>
      <c r="C10" s="23" t="s">
        <v>62</v>
      </c>
      <c r="D10" s="23">
        <v>171</v>
      </c>
      <c r="E10" s="23">
        <v>5</v>
      </c>
      <c r="F10" s="23">
        <v>162</v>
      </c>
      <c r="G10" s="23">
        <v>2540</v>
      </c>
      <c r="H10" s="23">
        <v>4</v>
      </c>
      <c r="I10" s="25">
        <f t="shared" si="0"/>
        <v>0.92045454545454541</v>
      </c>
      <c r="J10" s="25">
        <f t="shared" si="1"/>
        <v>15.679012345679013</v>
      </c>
      <c r="K10" s="25">
        <f t="shared" si="2"/>
        <v>2.2727272727272728E-2</v>
      </c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24">
        <v>45366</v>
      </c>
      <c r="B11" s="23">
        <v>1452</v>
      </c>
      <c r="C11" s="23" t="s">
        <v>61</v>
      </c>
      <c r="D11" s="23">
        <v>201</v>
      </c>
      <c r="E11" s="23">
        <v>7</v>
      </c>
      <c r="F11" s="23">
        <v>175</v>
      </c>
      <c r="G11" s="23">
        <v>2718</v>
      </c>
      <c r="H11" s="23">
        <v>474</v>
      </c>
      <c r="I11" s="25">
        <f t="shared" si="0"/>
        <v>0.84134615384615385</v>
      </c>
      <c r="J11" s="25">
        <f t="shared" si="1"/>
        <v>15.531428571428572</v>
      </c>
      <c r="K11" s="25">
        <f t="shared" si="2"/>
        <v>2.2788461538461537</v>
      </c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24">
        <v>45370</v>
      </c>
      <c r="B12" s="23">
        <v>1452</v>
      </c>
      <c r="C12" s="23" t="s">
        <v>61</v>
      </c>
      <c r="D12" s="23">
        <v>193</v>
      </c>
      <c r="E12" s="23">
        <v>10</v>
      </c>
      <c r="F12" s="23">
        <v>177</v>
      </c>
      <c r="G12" s="23">
        <v>2734</v>
      </c>
      <c r="H12" s="23">
        <v>480</v>
      </c>
      <c r="I12" s="25">
        <f t="shared" si="0"/>
        <v>0.8719211822660099</v>
      </c>
      <c r="J12" s="25">
        <f t="shared" si="1"/>
        <v>15.44632768361582</v>
      </c>
      <c r="K12" s="25">
        <f t="shared" si="2"/>
        <v>2.3645320197044337</v>
      </c>
      <c r="N12" s="17">
        <v>1</v>
      </c>
      <c r="O12" s="18">
        <v>0</v>
      </c>
      <c r="P12" s="19">
        <f>O12*R7</f>
        <v>0</v>
      </c>
      <c r="Q12" s="17">
        <v>3</v>
      </c>
      <c r="R12" s="18">
        <v>40</v>
      </c>
      <c r="S12" s="19">
        <f>R12*R7</f>
        <v>637.3281665372142</v>
      </c>
    </row>
    <row r="13" spans="1:19" ht="15.75">
      <c r="A13" s="24">
        <v>45373</v>
      </c>
      <c r="B13" s="23">
        <v>1452</v>
      </c>
      <c r="C13" s="23" t="s">
        <v>62</v>
      </c>
      <c r="D13" s="23">
        <v>165</v>
      </c>
      <c r="E13" s="23">
        <v>10</v>
      </c>
      <c r="F13" s="23">
        <v>160</v>
      </c>
      <c r="G13" s="23">
        <v>2558</v>
      </c>
      <c r="H13" s="23">
        <v>412</v>
      </c>
      <c r="I13" s="25">
        <f t="shared" si="0"/>
        <v>0.91428571428571426</v>
      </c>
      <c r="J13" s="25">
        <f t="shared" si="1"/>
        <v>15.987500000000001</v>
      </c>
      <c r="K13" s="25">
        <f t="shared" si="2"/>
        <v>2.3542857142857141</v>
      </c>
      <c r="N13" s="17">
        <v>2</v>
      </c>
      <c r="O13" s="18">
        <v>0</v>
      </c>
      <c r="P13" s="19">
        <f>O13*R7</f>
        <v>0</v>
      </c>
      <c r="Q13" s="17">
        <v>4</v>
      </c>
      <c r="R13" s="18">
        <v>125</v>
      </c>
      <c r="S13" s="19">
        <f>R7*R13</f>
        <v>1991.6505204287944</v>
      </c>
    </row>
    <row r="14" spans="1:19" ht="15.75">
      <c r="A14" s="24">
        <v>45377</v>
      </c>
      <c r="B14" s="23">
        <v>1452</v>
      </c>
      <c r="C14" s="23" t="s">
        <v>62</v>
      </c>
      <c r="D14" s="23">
        <v>161</v>
      </c>
      <c r="E14" s="23">
        <v>2</v>
      </c>
      <c r="F14" s="23">
        <v>141</v>
      </c>
      <c r="G14" s="23">
        <v>2196</v>
      </c>
      <c r="H14" s="23">
        <v>0</v>
      </c>
      <c r="I14" s="25">
        <f t="shared" si="0"/>
        <v>0.86503067484662577</v>
      </c>
      <c r="J14" s="25">
        <f t="shared" si="1"/>
        <v>15.574468085106384</v>
      </c>
      <c r="K14" s="25">
        <f t="shared" si="2"/>
        <v>0</v>
      </c>
      <c r="N14" s="17">
        <v>3</v>
      </c>
      <c r="O14" s="18">
        <v>1</v>
      </c>
      <c r="P14" s="19">
        <f>R7*O14</f>
        <v>15.933204163430355</v>
      </c>
      <c r="Q14" s="17">
        <v>5</v>
      </c>
      <c r="R14" s="18">
        <v>0</v>
      </c>
      <c r="S14" s="19">
        <f>R14*R7</f>
        <v>0</v>
      </c>
    </row>
    <row r="15" spans="1:19" ht="15.75">
      <c r="A15" s="24">
        <v>45380</v>
      </c>
      <c r="B15" s="23">
        <v>1452</v>
      </c>
      <c r="C15" s="23" t="s">
        <v>62</v>
      </c>
      <c r="D15" s="23">
        <v>136</v>
      </c>
      <c r="E15" s="23">
        <v>4</v>
      </c>
      <c r="F15" s="23">
        <v>118</v>
      </c>
      <c r="G15" s="23">
        <v>1875</v>
      </c>
      <c r="H15" s="23">
        <v>350</v>
      </c>
      <c r="I15" s="25">
        <f t="shared" si="0"/>
        <v>0.84285714285714286</v>
      </c>
      <c r="J15" s="25">
        <f t="shared" si="1"/>
        <v>15.889830508474576</v>
      </c>
      <c r="K15" s="25">
        <f t="shared" si="2"/>
        <v>2.5</v>
      </c>
      <c r="N15" s="17">
        <v>4</v>
      </c>
      <c r="O15" s="18">
        <v>0</v>
      </c>
      <c r="P15" s="19">
        <f>R7*O15</f>
        <v>0</v>
      </c>
      <c r="Q15" s="17">
        <v>1</v>
      </c>
      <c r="R15" s="18">
        <v>0</v>
      </c>
      <c r="S15" s="19">
        <f>R7*R15</f>
        <v>0</v>
      </c>
    </row>
    <row r="16" spans="1:19" ht="15.7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N16" s="17">
        <v>5</v>
      </c>
      <c r="O16" s="18">
        <v>0</v>
      </c>
      <c r="P16" s="19">
        <f>R7*O16</f>
        <v>0</v>
      </c>
      <c r="Q16" s="17"/>
      <c r="R16" s="18">
        <v>0</v>
      </c>
      <c r="S16" s="19">
        <f>R7*R16</f>
        <v>0</v>
      </c>
    </row>
    <row r="17" spans="1:19" ht="15.7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N17" s="17">
        <v>6</v>
      </c>
      <c r="O17" s="18">
        <v>0</v>
      </c>
      <c r="P17" s="19">
        <f>R7*O17</f>
        <v>0</v>
      </c>
      <c r="Q17" s="17"/>
      <c r="R17" s="18">
        <v>0</v>
      </c>
      <c r="S17" s="19">
        <f>R7*R17</f>
        <v>0</v>
      </c>
    </row>
    <row r="18" spans="1:19" ht="15.7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N18" s="17">
        <v>7</v>
      </c>
      <c r="O18" s="18">
        <v>0</v>
      </c>
      <c r="P18" s="19">
        <f>R7*O18</f>
        <v>0</v>
      </c>
      <c r="Q18" s="17"/>
      <c r="R18" s="18">
        <v>0</v>
      </c>
      <c r="S18" s="19">
        <f>R7*R18</f>
        <v>0</v>
      </c>
    </row>
    <row r="19" spans="1:19" ht="15.7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N19" s="17">
        <v>8</v>
      </c>
      <c r="O19" s="18">
        <v>30</v>
      </c>
      <c r="P19" s="19">
        <f>R7*O19</f>
        <v>477.99612490291065</v>
      </c>
      <c r="Q19" s="17"/>
      <c r="R19" s="18">
        <v>0</v>
      </c>
      <c r="S19" s="19">
        <f>R7*R19</f>
        <v>0</v>
      </c>
    </row>
    <row r="20" spans="1:19" ht="15.7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N20" s="17">
        <v>9</v>
      </c>
      <c r="O20" s="18">
        <v>50</v>
      </c>
      <c r="P20" s="19">
        <f>R7*O20</f>
        <v>796.66020817151775</v>
      </c>
      <c r="Q20" s="17"/>
      <c r="R20" s="18">
        <v>0</v>
      </c>
      <c r="S20" s="19">
        <f>R7*R20</f>
        <v>0</v>
      </c>
    </row>
    <row r="21" spans="1:19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N21" s="20" t="s">
        <v>53</v>
      </c>
      <c r="O21" s="18">
        <v>50</v>
      </c>
      <c r="P21" s="19">
        <f>R7*O21</f>
        <v>796.66020817151775</v>
      </c>
      <c r="Q21" s="17"/>
      <c r="R21" s="18"/>
      <c r="S21" s="19">
        <f>R7*R21</f>
        <v>0</v>
      </c>
    </row>
    <row r="22" spans="1:19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N22" s="13" t="s">
        <v>59</v>
      </c>
      <c r="O22" s="21">
        <f>P8-O12-O13-O14-O15-O16-O17-O18-O19-O20-O21</f>
        <v>31.755324567552407</v>
      </c>
      <c r="P22" s="21">
        <f>Q8-P12-P13-P14-P15-P16-P17-P18-P19-P20-P21</f>
        <v>505.96406961080856</v>
      </c>
      <c r="Q22" s="13" t="s">
        <v>59</v>
      </c>
      <c r="R22" s="21">
        <f>P8-R12-R13-R14-R15-R16-R17-R18-R19-R20-R21</f>
        <v>-2.2446754324475933</v>
      </c>
      <c r="S22" s="21">
        <f>Q8-S12-S13-S14-S15-S16-S17-S18-S19-S20-S21</f>
        <v>-35.764871945823643</v>
      </c>
    </row>
    <row r="23" spans="1:19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N23" s="13" t="s">
        <v>60</v>
      </c>
      <c r="O23" s="16">
        <f>O12+O13+O14+O15+O16+O17+O18+O19+O20+O21</f>
        <v>131</v>
      </c>
      <c r="P23" s="16">
        <f>P12+P13+P14+P15+P16+P17+P18+P19+P20+P21</f>
        <v>2087.2497454093764</v>
      </c>
      <c r="Q23" s="13" t="s">
        <v>60</v>
      </c>
      <c r="R23" s="16">
        <f>R12+R13+R14+R15+R16+R17+R18+R19+R20+R21</f>
        <v>165</v>
      </c>
      <c r="S23" s="16">
        <f>S12+S13+S14+S15+S16+S17+S18+S19+S20+S21</f>
        <v>2628.9786869660084</v>
      </c>
    </row>
    <row r="24" spans="1:19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9" ht="15.75" customHeight="1"/>
    <row r="26" spans="1:19" ht="15.75" customHeight="1"/>
    <row r="27" spans="1:19" ht="15.75" customHeight="1"/>
    <row r="28" spans="1:19" ht="15.75" customHeight="1"/>
    <row r="29" spans="1:19" ht="15.75" customHeight="1"/>
    <row r="30" spans="1:19" ht="15.75" customHeight="1"/>
    <row r="31" spans="1:19" ht="15.75" customHeight="1"/>
    <row r="32" spans="1:1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7"/>
      <c r="O55" s="7"/>
      <c r="P55" s="7"/>
      <c r="Q55" s="7"/>
      <c r="R55" s="7"/>
      <c r="S55" s="7"/>
    </row>
    <row r="56" spans="14:19" ht="15.75" customHeight="1">
      <c r="N56" s="22"/>
      <c r="O56" s="22"/>
      <c r="P56" s="22"/>
      <c r="Q56" s="22"/>
      <c r="R56" s="22"/>
      <c r="S56" s="2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O5:O6"/>
    <mergeCell ref="N10:P10"/>
    <mergeCell ref="Q10:S10"/>
    <mergeCell ref="Q5:Q6"/>
    <mergeCell ref="R5:R6"/>
    <mergeCell ref="S5:S6"/>
    <mergeCell ref="R7:R8"/>
    <mergeCell ref="S7:S8"/>
    <mergeCell ref="N9:S9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>
  <sheetPr codeName="Лист7"/>
  <dimension ref="A1:S998"/>
  <sheetViews>
    <sheetView workbookViewId="0">
      <selection activeCell="K7" sqref="K7:K8"/>
    </sheetView>
  </sheetViews>
  <sheetFormatPr defaultColWidth="14.42578125" defaultRowHeight="15" customHeight="1"/>
  <cols>
    <col min="1" max="1" width="10.140625" customWidth="1"/>
    <col min="2" max="8" width="8.7109375" customWidth="1"/>
    <col min="9" max="9" width="14" customWidth="1"/>
    <col min="10" max="10" width="15.5703125" customWidth="1"/>
    <col min="11" max="11" width="12.85546875" customWidth="1"/>
    <col min="12" max="13" width="8.7109375" customWidth="1"/>
    <col min="14" max="14" width="12" customWidth="1"/>
    <col min="15" max="15" width="11.5703125" customWidth="1"/>
    <col min="16" max="16" width="13.5703125" customWidth="1"/>
    <col min="17" max="17" width="12" customWidth="1"/>
    <col min="18" max="18" width="10.42578125" customWidth="1"/>
    <col min="19" max="19" width="12.7109375" customWidth="1"/>
    <col min="20" max="26" width="8.7109375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176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28</v>
      </c>
      <c r="B4" s="2" t="s">
        <v>30</v>
      </c>
      <c r="C4" s="500">
        <f>AVERAGEA(I7:I30)</f>
        <v>0.62622549019607843</v>
      </c>
      <c r="D4" s="501"/>
      <c r="E4" s="500">
        <f>AVERAGEA(J7:J30)</f>
        <v>15.468201754385966</v>
      </c>
      <c r="F4" s="501"/>
      <c r="G4" s="500">
        <f>AVERAGEA(K7:K30)</f>
        <v>2.6084881320949433</v>
      </c>
      <c r="H4" s="501"/>
      <c r="I4" s="3">
        <f>C4*K2</f>
        <v>110.21568627450981</v>
      </c>
      <c r="J4" s="3">
        <f>I4*E4</f>
        <v>1704.8384717922258</v>
      </c>
      <c r="K4" s="3">
        <f>K2*G4</f>
        <v>459.09391124871001</v>
      </c>
    </row>
    <row r="5" spans="1:19" ht="15" customHeight="1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  <c r="N6" s="492"/>
      <c r="O6" s="492"/>
      <c r="P6" s="492"/>
      <c r="Q6" s="492"/>
      <c r="R6" s="492"/>
      <c r="S6" s="492"/>
    </row>
    <row r="7" spans="1:19" ht="15.75">
      <c r="A7" s="28">
        <v>46210</v>
      </c>
      <c r="B7" s="29">
        <v>1476</v>
      </c>
      <c r="C7" s="29" t="s">
        <v>62</v>
      </c>
      <c r="D7" s="29">
        <v>134</v>
      </c>
      <c r="E7" s="29">
        <v>18</v>
      </c>
      <c r="F7" s="29">
        <v>95</v>
      </c>
      <c r="G7" s="29">
        <v>1415</v>
      </c>
      <c r="H7" s="29">
        <v>486</v>
      </c>
      <c r="I7" s="25">
        <f>F7/(D7+E7)</f>
        <v>0.625</v>
      </c>
      <c r="J7" s="25">
        <f>G7/F7</f>
        <v>14.894736842105264</v>
      </c>
      <c r="K7" s="25">
        <f>H7/(D7+E7)</f>
        <v>3.1973684210526314</v>
      </c>
      <c r="N7" s="13" t="s">
        <v>49</v>
      </c>
      <c r="O7" s="14">
        <f>K2</f>
        <v>176</v>
      </c>
      <c r="P7" s="15">
        <f>I4</f>
        <v>110.21568627450981</v>
      </c>
      <c r="Q7" s="15">
        <f>J4</f>
        <v>1704.8384717922258</v>
      </c>
      <c r="R7" s="493">
        <f>Q7/P7</f>
        <v>15.468201754385966</v>
      </c>
      <c r="S7" s="493">
        <f>P7/O7</f>
        <v>0.62622549019607843</v>
      </c>
    </row>
    <row r="8" spans="1:19" ht="15.75">
      <c r="A8" s="24">
        <v>46217</v>
      </c>
      <c r="B8" s="23">
        <v>1476</v>
      </c>
      <c r="C8" s="23" t="s">
        <v>62</v>
      </c>
      <c r="D8" s="23">
        <v>139</v>
      </c>
      <c r="E8" s="23">
        <v>14</v>
      </c>
      <c r="F8" s="23">
        <v>96</v>
      </c>
      <c r="G8" s="23">
        <v>1540</v>
      </c>
      <c r="H8" s="23">
        <v>309</v>
      </c>
      <c r="I8" s="25">
        <f>F8/(D8+E8)</f>
        <v>0.62745098039215685</v>
      </c>
      <c r="J8" s="25">
        <f>G8/F8</f>
        <v>16.041666666666668</v>
      </c>
      <c r="K8" s="25">
        <f>H8/(D8+E8)</f>
        <v>2.0196078431372548</v>
      </c>
      <c r="N8" s="13" t="s">
        <v>50</v>
      </c>
      <c r="O8" s="14">
        <f>O7</f>
        <v>176</v>
      </c>
      <c r="P8" s="16">
        <f>O8*S7</f>
        <v>110.21568627450981</v>
      </c>
      <c r="Q8" s="16">
        <f>P8*R7</f>
        <v>1704.8384717922258</v>
      </c>
      <c r="R8" s="492"/>
      <c r="S8" s="492"/>
    </row>
    <row r="9" spans="1:19">
      <c r="A9" s="24"/>
      <c r="B9" s="23"/>
      <c r="C9" s="23"/>
      <c r="D9" s="23"/>
      <c r="E9" s="23"/>
      <c r="F9" s="23"/>
      <c r="G9" s="23"/>
      <c r="H9" s="23"/>
      <c r="I9" s="25"/>
      <c r="J9" s="25"/>
      <c r="K9" s="25"/>
      <c r="N9" s="494" t="s">
        <v>52</v>
      </c>
      <c r="O9" s="495"/>
      <c r="P9" s="496"/>
      <c r="Q9" s="494" t="s">
        <v>53</v>
      </c>
      <c r="R9" s="495"/>
      <c r="S9" s="496"/>
    </row>
    <row r="10" spans="1:19">
      <c r="A10" s="24"/>
      <c r="B10" s="23"/>
      <c r="C10" s="414"/>
      <c r="D10" s="23"/>
      <c r="E10" s="23"/>
      <c r="F10" s="23"/>
      <c r="G10" s="23"/>
      <c r="H10" s="23"/>
      <c r="I10" s="25"/>
      <c r="J10" s="25"/>
      <c r="K10" s="25"/>
      <c r="N10" s="13" t="s">
        <v>54</v>
      </c>
      <c r="O10" s="13" t="s">
        <v>55</v>
      </c>
      <c r="P10" s="13" t="s">
        <v>56</v>
      </c>
      <c r="Q10" s="13" t="s">
        <v>57</v>
      </c>
      <c r="R10" s="13" t="s">
        <v>55</v>
      </c>
      <c r="S10" s="13" t="s">
        <v>58</v>
      </c>
    </row>
    <row r="11" spans="1:19" ht="15.75">
      <c r="A11" s="24"/>
      <c r="B11" s="23"/>
      <c r="C11" s="23"/>
      <c r="D11" s="23"/>
      <c r="E11" s="23"/>
      <c r="F11" s="23"/>
      <c r="G11" s="23"/>
      <c r="H11" s="23"/>
      <c r="I11" s="25"/>
      <c r="J11" s="25"/>
      <c r="K11" s="25"/>
      <c r="N11" s="17">
        <v>1</v>
      </c>
      <c r="O11" s="18">
        <v>0</v>
      </c>
      <c r="P11" s="19">
        <f>O11*R7</f>
        <v>0</v>
      </c>
      <c r="Q11" s="17">
        <v>3</v>
      </c>
      <c r="R11" s="18">
        <v>30</v>
      </c>
      <c r="S11" s="19">
        <f>R11*R7</f>
        <v>464.04605263157896</v>
      </c>
    </row>
    <row r="12" spans="1:19" ht="15.7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N12" s="17">
        <v>2</v>
      </c>
      <c r="O12" s="18">
        <v>0</v>
      </c>
      <c r="P12" s="19">
        <f>O12*R7</f>
        <v>0</v>
      </c>
      <c r="Q12" s="17">
        <v>4</v>
      </c>
      <c r="R12" s="18">
        <v>83</v>
      </c>
      <c r="S12" s="19">
        <f>R7*R12</f>
        <v>1283.8607456140351</v>
      </c>
    </row>
    <row r="13" spans="1:19" ht="15.7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N13" s="17">
        <v>3</v>
      </c>
      <c r="O13" s="18">
        <v>1</v>
      </c>
      <c r="P13" s="19">
        <f>R7*O13</f>
        <v>15.468201754385966</v>
      </c>
      <c r="Q13" s="17">
        <v>5</v>
      </c>
      <c r="R13" s="18">
        <v>0</v>
      </c>
      <c r="S13" s="19">
        <f>R13*R7</f>
        <v>0</v>
      </c>
    </row>
    <row r="14" spans="1:19" ht="15.7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N14" s="17">
        <v>4</v>
      </c>
      <c r="O14" s="18">
        <v>0</v>
      </c>
      <c r="P14" s="19">
        <f>R7*O14</f>
        <v>0</v>
      </c>
      <c r="Q14" s="17">
        <v>1</v>
      </c>
      <c r="R14" s="18">
        <v>0</v>
      </c>
      <c r="S14" s="19">
        <f>R7*R14</f>
        <v>0</v>
      </c>
    </row>
    <row r="15" spans="1:19" ht="15.7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N15" s="17">
        <v>5</v>
      </c>
      <c r="O15" s="18">
        <v>0</v>
      </c>
      <c r="P15" s="19">
        <f>R7*O15</f>
        <v>0</v>
      </c>
      <c r="Q15" s="17"/>
      <c r="R15" s="18">
        <v>0</v>
      </c>
      <c r="S15" s="19">
        <f>R7*R15</f>
        <v>0</v>
      </c>
    </row>
    <row r="16" spans="1:19" ht="15.7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N16" s="17">
        <v>6</v>
      </c>
      <c r="O16" s="18">
        <v>0</v>
      </c>
      <c r="P16" s="19">
        <f>R7*O16</f>
        <v>0</v>
      </c>
      <c r="Q16" s="17"/>
      <c r="R16" s="18">
        <v>0</v>
      </c>
      <c r="S16" s="19">
        <f>R7*R16</f>
        <v>0</v>
      </c>
    </row>
    <row r="17" spans="1:19" ht="15.7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N17" s="17">
        <v>7</v>
      </c>
      <c r="O17" s="18">
        <v>0</v>
      </c>
      <c r="P17" s="19">
        <f>R7*O17</f>
        <v>0</v>
      </c>
      <c r="Q17" s="17"/>
      <c r="R17" s="18">
        <v>0</v>
      </c>
      <c r="S17" s="19">
        <f>R7*R17</f>
        <v>0</v>
      </c>
    </row>
    <row r="18" spans="1:19" ht="15.7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N18" s="17">
        <v>8</v>
      </c>
      <c r="O18" s="18">
        <v>30</v>
      </c>
      <c r="P18" s="19">
        <f>R7*O18</f>
        <v>464.04605263157896</v>
      </c>
      <c r="Q18" s="17"/>
      <c r="R18" s="18">
        <v>0</v>
      </c>
      <c r="S18" s="19">
        <f>R7*R18</f>
        <v>0</v>
      </c>
    </row>
    <row r="19" spans="1:19" ht="15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N19" s="17">
        <v>9</v>
      </c>
      <c r="O19" s="18">
        <v>50</v>
      </c>
      <c r="P19" s="19">
        <f>R7*O19</f>
        <v>773.4100877192983</v>
      </c>
      <c r="Q19" s="17"/>
      <c r="R19" s="18">
        <v>0</v>
      </c>
      <c r="S19" s="19">
        <f>R7*R19</f>
        <v>0</v>
      </c>
    </row>
    <row r="20" spans="1:19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N20" s="20" t="s">
        <v>53</v>
      </c>
      <c r="O20" s="18">
        <v>50</v>
      </c>
      <c r="P20" s="19">
        <f>R7*O20</f>
        <v>773.4100877192983</v>
      </c>
      <c r="Q20" s="17"/>
      <c r="R20" s="18"/>
      <c r="S20" s="19">
        <f>R7*R20</f>
        <v>0</v>
      </c>
    </row>
    <row r="21" spans="1:19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N21" s="13" t="s">
        <v>59</v>
      </c>
      <c r="O21" s="21">
        <f>P8-O11-O12-O13-O14-O15-O16-O17-O18-O19-O20</f>
        <v>-20.784313725490193</v>
      </c>
      <c r="P21" s="21">
        <f>Q8-P11-P12-P13-P14-P15-P16-P17-P18-P19-P20</f>
        <v>-321.49595803233569</v>
      </c>
      <c r="Q21" s="13" t="s">
        <v>59</v>
      </c>
      <c r="R21" s="21">
        <f>P8-R11-R12-R13-R14-R15-R16-R17-R18-R19-R20</f>
        <v>-2.7843137254901933</v>
      </c>
      <c r="S21" s="21">
        <f>Q8-S11-S12-S13-S14-S15-S16-S17-S18-S19-S20</f>
        <v>-43.068326453388181</v>
      </c>
    </row>
    <row r="22" spans="1:19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N22" s="13" t="s">
        <v>60</v>
      </c>
      <c r="O22" s="16">
        <f>O11+O12+O13+O14+O15+O16+O17+O18+O19+O20</f>
        <v>131</v>
      </c>
      <c r="P22" s="16">
        <f>P11+P12+P13+P14+P15+P16+P17+P18+P19+P20</f>
        <v>2026.3344298245615</v>
      </c>
      <c r="Q22" s="13" t="s">
        <v>60</v>
      </c>
      <c r="R22" s="16">
        <f>R11+R12+R13+R14+R15+R16+R17+R18+R19+R20</f>
        <v>113</v>
      </c>
      <c r="S22" s="16">
        <f>S11+S12+S13+S14+S15+S16+S17+S18+S19+S20</f>
        <v>1747.906798245614</v>
      </c>
    </row>
    <row r="23" spans="1:19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9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9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</row>
    <row r="26" spans="1:19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spans="1:19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spans="1:19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1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spans="1:19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spans="1:19" ht="15.75" customHeight="1"/>
    <row r="32" spans="1:1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>
      <c r="N54" s="7"/>
      <c r="O54" s="7"/>
      <c r="P54" s="7"/>
      <c r="Q54" s="7"/>
      <c r="R54" s="7"/>
      <c r="S54" s="7"/>
    </row>
    <row r="55" spans="14:19" ht="15.75" customHeight="1">
      <c r="N55" s="22"/>
      <c r="O55" s="22"/>
      <c r="P55" s="22"/>
      <c r="Q55" s="22"/>
      <c r="R55" s="22"/>
      <c r="S55" s="22"/>
    </row>
    <row r="56" spans="14:19" ht="15.75" customHeight="1"/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sheetProtection password="CC6F" sheet="1" objects="1" scenarios="1"/>
  <mergeCells count="33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O5:O6"/>
    <mergeCell ref="N9:P9"/>
    <mergeCell ref="Q9:S9"/>
    <mergeCell ref="Q5:Q6"/>
    <mergeCell ref="R5:R6"/>
    <mergeCell ref="S5:S6"/>
    <mergeCell ref="R7:R8"/>
    <mergeCell ref="S7:S8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sheetPr codeName="Лист8">
    <outlinePr summaryBelow="0" summaryRight="0"/>
  </sheetPr>
  <dimension ref="A1:S57"/>
  <sheetViews>
    <sheetView workbookViewId="0">
      <selection activeCell="J9" sqref="J9"/>
    </sheetView>
  </sheetViews>
  <sheetFormatPr defaultColWidth="14.42578125" defaultRowHeight="15" customHeight="1"/>
  <cols>
    <col min="1" max="1" width="10.140625" customWidth="1"/>
    <col min="2" max="8" width="8.7109375" customWidth="1"/>
    <col min="9" max="9" width="14" customWidth="1"/>
    <col min="10" max="10" width="15.5703125" customWidth="1"/>
    <col min="11" max="11" width="12.85546875" customWidth="1"/>
    <col min="12" max="12" width="8.42578125" customWidth="1"/>
    <col min="13" max="13" width="8" customWidth="1"/>
    <col min="14" max="14" width="12" customWidth="1"/>
    <col min="15" max="15" width="11.5703125" customWidth="1"/>
    <col min="16" max="16" width="13.5703125" customWidth="1"/>
    <col min="17" max="17" width="12" customWidth="1"/>
    <col min="18" max="18" width="10.42578125" customWidth="1"/>
    <col min="19" max="19" width="12.7109375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150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28</v>
      </c>
      <c r="B4" s="2" t="s">
        <v>79</v>
      </c>
      <c r="C4" s="500">
        <f>AVERAGEA(I7:I56)</f>
        <v>0.31381681031940101</v>
      </c>
      <c r="D4" s="501"/>
      <c r="E4" s="500">
        <f>AVERAGEA(J7:J56)</f>
        <v>15.70886193748216</v>
      </c>
      <c r="F4" s="501"/>
      <c r="G4" s="500">
        <f>AVERAGEA(K7:K56)</f>
        <v>0.51764626751673382</v>
      </c>
      <c r="H4" s="501"/>
      <c r="I4" s="3">
        <f>C4*K2</f>
        <v>47.072521547910149</v>
      </c>
      <c r="J4" s="3">
        <f>I4*E4</f>
        <v>739.45574204527452</v>
      </c>
      <c r="K4" s="3">
        <f>K2*G4</f>
        <v>77.646940127510078</v>
      </c>
    </row>
    <row r="5" spans="1:19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2"/>
      <c r="B6" s="492"/>
      <c r="C6" s="492"/>
      <c r="D6" s="492"/>
      <c r="E6" s="492"/>
      <c r="F6" s="4" t="s">
        <v>20</v>
      </c>
      <c r="G6" s="5" t="s">
        <v>21</v>
      </c>
      <c r="H6" s="492"/>
      <c r="I6" s="492"/>
      <c r="J6" s="492"/>
      <c r="K6" s="492"/>
      <c r="N6" s="492"/>
      <c r="O6" s="492"/>
      <c r="P6" s="492"/>
      <c r="Q6" s="492"/>
      <c r="R6" s="492"/>
      <c r="S6" s="492"/>
    </row>
    <row r="7" spans="1:19">
      <c r="A7" s="11">
        <v>45048</v>
      </c>
      <c r="B7" s="12" t="s">
        <v>31</v>
      </c>
      <c r="C7" s="12" t="s">
        <v>23</v>
      </c>
      <c r="D7" s="12">
        <v>176</v>
      </c>
      <c r="E7" s="12">
        <v>9</v>
      </c>
      <c r="F7" s="12">
        <v>51</v>
      </c>
      <c r="G7" s="12">
        <v>769</v>
      </c>
      <c r="H7" s="12">
        <v>103</v>
      </c>
      <c r="I7" s="6">
        <f>F7/(D7+E7)</f>
        <v>0.27567567567567569</v>
      </c>
      <c r="J7" s="6">
        <f>G7/F7</f>
        <v>15.078431372549019</v>
      </c>
      <c r="K7" s="6">
        <f>H7/(D7+E7)</f>
        <v>0.55675675675675673</v>
      </c>
      <c r="N7" s="13" t="s">
        <v>49</v>
      </c>
      <c r="O7" s="14">
        <f>K2</f>
        <v>150</v>
      </c>
      <c r="P7" s="15">
        <f>I4</f>
        <v>47.072521547910149</v>
      </c>
      <c r="Q7" s="15">
        <f>J4</f>
        <v>739.45574204527452</v>
      </c>
      <c r="R7" s="493">
        <f>Q7/P7</f>
        <v>15.70886193748216</v>
      </c>
      <c r="S7" s="493">
        <f>P7/O7</f>
        <v>0.31381681031940101</v>
      </c>
    </row>
    <row r="8" spans="1:19">
      <c r="A8" s="11">
        <v>45055</v>
      </c>
      <c r="B8" s="12" t="s">
        <v>31</v>
      </c>
      <c r="C8" s="12" t="s">
        <v>22</v>
      </c>
      <c r="D8" s="12">
        <v>170</v>
      </c>
      <c r="E8" s="12">
        <v>12</v>
      </c>
      <c r="F8" s="12">
        <v>47</v>
      </c>
      <c r="G8" s="12">
        <v>740</v>
      </c>
      <c r="H8" s="12">
        <v>5</v>
      </c>
      <c r="I8" s="6">
        <f>F8/(D8+E8)</f>
        <v>0.25824175824175827</v>
      </c>
      <c r="J8" s="6">
        <f>G8/F8</f>
        <v>15.74468085106383</v>
      </c>
      <c r="K8" s="6">
        <f>H8/(D8+E8)</f>
        <v>2.7472527472527472E-2</v>
      </c>
      <c r="N8" s="13" t="s">
        <v>50</v>
      </c>
      <c r="O8" s="14">
        <f>O7</f>
        <v>150</v>
      </c>
      <c r="P8" s="16">
        <f>O8*S7</f>
        <v>47.072521547910149</v>
      </c>
      <c r="Q8" s="16">
        <f>P8*R7</f>
        <v>739.45574204527452</v>
      </c>
      <c r="R8" s="492"/>
      <c r="S8" s="492"/>
    </row>
    <row r="9" spans="1:19">
      <c r="A9" s="11">
        <v>45062</v>
      </c>
      <c r="B9" s="12" t="s">
        <v>31</v>
      </c>
      <c r="C9" s="12" t="s">
        <v>22</v>
      </c>
      <c r="D9" s="12">
        <v>187</v>
      </c>
      <c r="E9" s="12">
        <v>6</v>
      </c>
      <c r="F9" s="12">
        <v>64</v>
      </c>
      <c r="G9" s="12">
        <v>1029</v>
      </c>
      <c r="H9" s="12">
        <v>81</v>
      </c>
      <c r="I9" s="6">
        <f>F9/(D9+E9)</f>
        <v>0.33160621761658032</v>
      </c>
      <c r="J9" s="6">
        <f>G9/F9</f>
        <v>16.078125</v>
      </c>
      <c r="K9" s="6">
        <f>H9/(D9+E9)</f>
        <v>0.41968911917098445</v>
      </c>
      <c r="N9" s="494" t="s">
        <v>51</v>
      </c>
      <c r="O9" s="495"/>
      <c r="P9" s="495"/>
      <c r="Q9" s="495"/>
      <c r="R9" s="495"/>
      <c r="S9" s="496"/>
    </row>
    <row r="10" spans="1:19">
      <c r="A10" s="11">
        <v>45069</v>
      </c>
      <c r="B10" s="12" t="s">
        <v>31</v>
      </c>
      <c r="C10" s="12" t="s">
        <v>22</v>
      </c>
      <c r="D10" s="12">
        <v>188</v>
      </c>
      <c r="E10" s="12">
        <v>7</v>
      </c>
      <c r="F10" s="12">
        <v>76</v>
      </c>
      <c r="G10" s="12">
        <v>1211</v>
      </c>
      <c r="H10" s="12">
        <v>208</v>
      </c>
      <c r="I10" s="6">
        <f>F10/(D10+E10)</f>
        <v>0.38974358974358975</v>
      </c>
      <c r="J10" s="6">
        <f>G10/F10</f>
        <v>15.934210526315789</v>
      </c>
      <c r="K10" s="6">
        <f>H10/(D10+E10)</f>
        <v>1.0666666666666667</v>
      </c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11"/>
      <c r="B11" s="12"/>
      <c r="C11" s="12"/>
      <c r="D11" s="12"/>
      <c r="E11" s="12"/>
      <c r="F11" s="12"/>
      <c r="G11" s="12"/>
      <c r="H11" s="12"/>
      <c r="I11" s="6"/>
      <c r="J11" s="6"/>
      <c r="K11" s="6"/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>
      <c r="A12" s="11"/>
      <c r="B12" s="12"/>
      <c r="C12" s="12"/>
      <c r="D12" s="12"/>
      <c r="E12" s="12"/>
      <c r="F12" s="12"/>
      <c r="G12" s="12"/>
      <c r="H12" s="12"/>
      <c r="I12" s="6"/>
      <c r="J12" s="6"/>
      <c r="K12" s="6"/>
      <c r="N12" s="17">
        <v>1</v>
      </c>
      <c r="O12" s="18">
        <v>0</v>
      </c>
      <c r="P12" s="19">
        <f>O12*R7</f>
        <v>0</v>
      </c>
      <c r="Q12" s="17">
        <v>3</v>
      </c>
      <c r="R12" s="18">
        <v>35</v>
      </c>
      <c r="S12" s="19">
        <f>R12*R7</f>
        <v>549.81016781187566</v>
      </c>
    </row>
    <row r="13" spans="1:19">
      <c r="A13" s="11"/>
      <c r="B13" s="12"/>
      <c r="C13" s="12"/>
      <c r="D13" s="12"/>
      <c r="E13" s="12"/>
      <c r="F13" s="12"/>
      <c r="G13" s="12"/>
      <c r="H13" s="12"/>
      <c r="I13" s="6"/>
      <c r="J13" s="6"/>
      <c r="K13" s="6"/>
      <c r="N13" s="17">
        <v>2</v>
      </c>
      <c r="O13" s="18">
        <v>0</v>
      </c>
      <c r="P13" s="19">
        <f>O13*R7</f>
        <v>0</v>
      </c>
      <c r="Q13" s="17">
        <v>4</v>
      </c>
      <c r="R13" s="18">
        <v>18</v>
      </c>
      <c r="S13" s="19">
        <f>R7*R13</f>
        <v>282.75951487467887</v>
      </c>
    </row>
    <row r="14" spans="1:19">
      <c r="A14" s="11"/>
      <c r="B14" s="12"/>
      <c r="C14" s="12"/>
      <c r="D14" s="12"/>
      <c r="E14" s="12"/>
      <c r="F14" s="12"/>
      <c r="G14" s="12"/>
      <c r="H14" s="12"/>
      <c r="I14" s="6"/>
      <c r="J14" s="6"/>
      <c r="K14" s="6"/>
      <c r="N14" s="17">
        <v>3</v>
      </c>
      <c r="O14" s="18">
        <v>1</v>
      </c>
      <c r="P14" s="19">
        <f>R7*O14</f>
        <v>15.70886193748216</v>
      </c>
      <c r="Q14" s="17">
        <v>5</v>
      </c>
      <c r="R14" s="18">
        <v>0</v>
      </c>
      <c r="S14" s="19">
        <f>R14*R7</f>
        <v>0</v>
      </c>
    </row>
    <row r="15" spans="1:19">
      <c r="A15" s="11"/>
      <c r="B15" s="12"/>
      <c r="C15" s="12"/>
      <c r="D15" s="12"/>
      <c r="E15" s="12"/>
      <c r="F15" s="12"/>
      <c r="G15" s="12"/>
      <c r="H15" s="12"/>
      <c r="I15" s="6"/>
      <c r="J15" s="6"/>
      <c r="K15" s="6"/>
      <c r="N15" s="17">
        <v>4</v>
      </c>
      <c r="O15" s="18">
        <v>0</v>
      </c>
      <c r="P15" s="19">
        <f>R7*O15</f>
        <v>0</v>
      </c>
      <c r="Q15" s="17">
        <v>1</v>
      </c>
      <c r="R15" s="18">
        <v>0</v>
      </c>
      <c r="S15" s="19">
        <f>R7*R15</f>
        <v>0</v>
      </c>
    </row>
    <row r="16" spans="1:19">
      <c r="A16" s="11"/>
      <c r="B16" s="12"/>
      <c r="C16" s="12"/>
      <c r="D16" s="12"/>
      <c r="E16" s="12"/>
      <c r="F16" s="12"/>
      <c r="G16" s="12"/>
      <c r="H16" s="12"/>
      <c r="I16" s="6"/>
      <c r="J16" s="9"/>
      <c r="K16" s="6"/>
      <c r="N16" s="17">
        <v>5</v>
      </c>
      <c r="O16" s="18">
        <v>0</v>
      </c>
      <c r="P16" s="19">
        <f>R7*O16</f>
        <v>0</v>
      </c>
      <c r="Q16" s="17"/>
      <c r="R16" s="18">
        <v>0</v>
      </c>
      <c r="S16" s="19">
        <f>R7*R16</f>
        <v>0</v>
      </c>
    </row>
    <row r="17" spans="1:19">
      <c r="A17" s="11"/>
      <c r="B17" s="12"/>
      <c r="C17" s="12"/>
      <c r="D17" s="12"/>
      <c r="E17" s="12"/>
      <c r="F17" s="12"/>
      <c r="G17" s="12"/>
      <c r="H17" s="12"/>
      <c r="I17" s="6"/>
      <c r="J17" s="9"/>
      <c r="K17" s="9"/>
      <c r="N17" s="17">
        <v>6</v>
      </c>
      <c r="O17" s="18">
        <v>0</v>
      </c>
      <c r="P17" s="19">
        <f>R7*O17</f>
        <v>0</v>
      </c>
      <c r="Q17" s="17"/>
      <c r="R17" s="18">
        <v>0</v>
      </c>
      <c r="S17" s="19">
        <f>R7*R17</f>
        <v>0</v>
      </c>
    </row>
    <row r="18" spans="1:19">
      <c r="A18" s="11"/>
      <c r="B18" s="12"/>
      <c r="C18" s="12"/>
      <c r="D18" s="12"/>
      <c r="E18" s="12"/>
      <c r="F18" s="12"/>
      <c r="G18" s="12"/>
      <c r="H18" s="12"/>
      <c r="I18" s="6"/>
      <c r="J18" s="9"/>
      <c r="K18" s="9"/>
      <c r="N18" s="17">
        <v>7</v>
      </c>
      <c r="O18" s="18">
        <v>0</v>
      </c>
      <c r="P18" s="19">
        <f>R7*O18</f>
        <v>0</v>
      </c>
      <c r="Q18" s="17"/>
      <c r="R18" s="18">
        <v>0</v>
      </c>
      <c r="S18" s="19">
        <f>R7*R18</f>
        <v>0</v>
      </c>
    </row>
    <row r="19" spans="1:19">
      <c r="A19" s="11"/>
      <c r="B19" s="12"/>
      <c r="C19" s="12"/>
      <c r="D19" s="12"/>
      <c r="E19" s="12"/>
      <c r="F19" s="12"/>
      <c r="G19" s="12"/>
      <c r="H19" s="12"/>
      <c r="I19" s="6"/>
      <c r="J19" s="9"/>
      <c r="K19" s="9"/>
      <c r="N19" s="17">
        <v>8</v>
      </c>
      <c r="O19" s="18">
        <v>30</v>
      </c>
      <c r="P19" s="19">
        <f>R7*O19</f>
        <v>471.26585812446478</v>
      </c>
      <c r="Q19" s="17"/>
      <c r="R19" s="18">
        <v>0</v>
      </c>
      <c r="S19" s="19">
        <f>R7*R19</f>
        <v>0</v>
      </c>
    </row>
    <row r="20" spans="1:19">
      <c r="A20" s="11"/>
      <c r="B20" s="12"/>
      <c r="C20" s="12"/>
      <c r="D20" s="12"/>
      <c r="E20" s="12"/>
      <c r="F20" s="12"/>
      <c r="G20" s="12"/>
      <c r="H20" s="12"/>
      <c r="I20" s="6"/>
      <c r="J20" s="9"/>
      <c r="K20" s="9"/>
      <c r="N20" s="17">
        <v>9</v>
      </c>
      <c r="O20" s="18">
        <v>50</v>
      </c>
      <c r="P20" s="19">
        <f>R7*O20</f>
        <v>785.44309687410805</v>
      </c>
      <c r="Q20" s="17"/>
      <c r="R20" s="18">
        <v>0</v>
      </c>
      <c r="S20" s="19">
        <f>R7*R20</f>
        <v>0</v>
      </c>
    </row>
    <row r="21" spans="1:19">
      <c r="A21" s="11"/>
      <c r="B21" s="12"/>
      <c r="C21" s="12"/>
      <c r="D21" s="12"/>
      <c r="E21" s="12"/>
      <c r="F21" s="12"/>
      <c r="G21" s="12"/>
      <c r="H21" s="12"/>
      <c r="I21" s="6"/>
      <c r="J21" s="9"/>
      <c r="K21" s="9"/>
      <c r="N21" s="20" t="s">
        <v>53</v>
      </c>
      <c r="O21" s="18">
        <v>50</v>
      </c>
      <c r="P21" s="19">
        <f>R7*O21</f>
        <v>785.44309687410805</v>
      </c>
      <c r="Q21" s="17"/>
      <c r="R21" s="18"/>
      <c r="S21" s="19">
        <f>R7*R21</f>
        <v>0</v>
      </c>
    </row>
    <row r="22" spans="1:19">
      <c r="A22" s="11"/>
      <c r="B22" s="12"/>
      <c r="C22" s="12"/>
      <c r="D22" s="12"/>
      <c r="E22" s="12"/>
      <c r="F22" s="12"/>
      <c r="G22" s="12"/>
      <c r="H22" s="12"/>
      <c r="I22" s="6"/>
      <c r="J22" s="9"/>
      <c r="K22" s="9"/>
      <c r="N22" s="13" t="s">
        <v>59</v>
      </c>
      <c r="O22" s="21">
        <f>P8-O12-O13-O14-O15-O16-O17-O18-O19-O20-O21</f>
        <v>-83.927478452089844</v>
      </c>
      <c r="P22" s="21">
        <f>Q8-P12-P13-P14-P15-P16-P17-P18-P19-P20-P21</f>
        <v>-1318.4051717648886</v>
      </c>
      <c r="Q22" s="13" t="s">
        <v>59</v>
      </c>
      <c r="R22" s="21">
        <f>P8-R12-R13-R14-R15-R16-R17-R18-R19-R20-R21</f>
        <v>-5.9274784520898507</v>
      </c>
      <c r="S22" s="21">
        <f>Q8-S12-S13-S14-S15-S16-S17-S18-S19-S20-S21</f>
        <v>-93.11394064128001</v>
      </c>
    </row>
    <row r="23" spans="1:19">
      <c r="A23" s="11"/>
      <c r="B23" s="12"/>
      <c r="C23" s="12"/>
      <c r="D23" s="12"/>
      <c r="E23" s="12"/>
      <c r="F23" s="12"/>
      <c r="G23" s="12"/>
      <c r="H23" s="12"/>
      <c r="I23" s="6"/>
      <c r="J23" s="9"/>
      <c r="K23" s="9"/>
      <c r="N23" s="13" t="s">
        <v>60</v>
      </c>
      <c r="O23" s="16">
        <f>O12+O13+O14+O15+O16+O17+O18+O19+O20+O21</f>
        <v>131</v>
      </c>
      <c r="P23" s="16">
        <f>P12+P13+P14+P15+P16+P17+P18+P19+P20+P21</f>
        <v>2057.8609138101629</v>
      </c>
      <c r="Q23" s="13" t="s">
        <v>60</v>
      </c>
      <c r="R23" s="16">
        <f>R12+R13+R14+R15+R16+R17+R18+R19+R20+R21</f>
        <v>53</v>
      </c>
      <c r="S23" s="16">
        <f>S12+S13+S14+S15+S16+S17+S18+S19+S20+S21</f>
        <v>832.56968268655453</v>
      </c>
    </row>
    <row r="24" spans="1:19">
      <c r="A24" s="11"/>
      <c r="B24" s="12"/>
      <c r="C24" s="12"/>
      <c r="D24" s="12"/>
      <c r="E24" s="12"/>
      <c r="F24" s="12"/>
      <c r="G24" s="12"/>
      <c r="H24" s="12"/>
      <c r="I24" s="6"/>
      <c r="J24" s="9"/>
      <c r="K24" s="9"/>
    </row>
    <row r="25" spans="1:19">
      <c r="A25" s="11"/>
      <c r="B25" s="12"/>
      <c r="C25" s="12"/>
      <c r="D25" s="12"/>
      <c r="E25" s="12"/>
      <c r="F25" s="12"/>
      <c r="G25" s="12"/>
      <c r="H25" s="12"/>
      <c r="I25" s="6"/>
      <c r="J25" s="9"/>
      <c r="K25" s="9"/>
    </row>
    <row r="26" spans="1:19">
      <c r="A26" s="11"/>
      <c r="B26" s="12"/>
      <c r="C26" s="12"/>
      <c r="D26" s="12"/>
      <c r="E26" s="12"/>
      <c r="F26" s="12"/>
      <c r="G26" s="12"/>
      <c r="H26" s="12"/>
      <c r="I26" s="6"/>
      <c r="J26" s="9"/>
      <c r="K26" s="9"/>
    </row>
    <row r="27" spans="1:19">
      <c r="A27" s="11"/>
      <c r="B27" s="12"/>
      <c r="C27" s="12"/>
      <c r="D27" s="12"/>
      <c r="E27" s="12"/>
      <c r="F27" s="12"/>
      <c r="G27" s="12"/>
      <c r="H27" s="12"/>
      <c r="I27" s="6"/>
      <c r="J27" s="9"/>
      <c r="K27" s="9"/>
    </row>
    <row r="28" spans="1:19">
      <c r="A28" s="11"/>
      <c r="B28" s="12"/>
      <c r="C28" s="12"/>
      <c r="D28" s="12"/>
      <c r="E28" s="12"/>
      <c r="F28" s="12"/>
      <c r="G28" s="12"/>
      <c r="H28" s="12"/>
      <c r="I28" s="6"/>
      <c r="J28" s="9"/>
      <c r="K28" s="9"/>
    </row>
    <row r="29" spans="1:19">
      <c r="A29" s="11"/>
      <c r="B29" s="12"/>
      <c r="C29" s="12"/>
      <c r="D29" s="12"/>
      <c r="E29" s="12"/>
      <c r="F29" s="12"/>
      <c r="G29" s="12"/>
      <c r="H29" s="12"/>
      <c r="I29" s="6"/>
      <c r="J29" s="9"/>
      <c r="K29" s="9"/>
    </row>
    <row r="30" spans="1:19">
      <c r="A30" s="11"/>
      <c r="B30" s="12"/>
      <c r="C30" s="12"/>
      <c r="D30" s="12"/>
      <c r="E30" s="12"/>
      <c r="F30" s="12"/>
      <c r="G30" s="12"/>
      <c r="H30" s="12"/>
      <c r="I30" s="6"/>
      <c r="J30" s="9"/>
      <c r="K30" s="9"/>
    </row>
    <row r="31" spans="1:19">
      <c r="A31" s="11"/>
      <c r="B31" s="12"/>
      <c r="C31" s="12"/>
      <c r="D31" s="12"/>
      <c r="E31" s="12"/>
      <c r="F31" s="12"/>
      <c r="G31" s="12"/>
      <c r="H31" s="12"/>
      <c r="I31" s="6"/>
      <c r="J31" s="9"/>
      <c r="K31" s="9"/>
    </row>
    <row r="32" spans="1:19">
      <c r="A32" s="8"/>
      <c r="B32" s="7"/>
      <c r="C32" s="7"/>
      <c r="D32" s="7"/>
      <c r="E32" s="7"/>
      <c r="F32" s="7"/>
      <c r="G32" s="7"/>
      <c r="H32" s="7"/>
      <c r="I32" s="6"/>
      <c r="J32" s="9"/>
      <c r="K32" s="9"/>
    </row>
    <row r="33" spans="1:11">
      <c r="A33" s="8"/>
      <c r="B33" s="7"/>
      <c r="C33" s="7"/>
      <c r="D33" s="7"/>
      <c r="E33" s="7"/>
      <c r="F33" s="7"/>
      <c r="G33" s="7"/>
      <c r="H33" s="7"/>
      <c r="I33" s="6"/>
      <c r="J33" s="9"/>
      <c r="K33" s="9"/>
    </row>
    <row r="34" spans="1:11">
      <c r="A34" s="8"/>
      <c r="B34" s="7"/>
      <c r="C34" s="7"/>
      <c r="D34" s="7"/>
      <c r="E34" s="7"/>
      <c r="F34" s="7"/>
      <c r="G34" s="7"/>
      <c r="H34" s="7"/>
      <c r="I34" s="6"/>
      <c r="J34" s="9"/>
      <c r="K34" s="9"/>
    </row>
    <row r="35" spans="1:11">
      <c r="A35" s="8"/>
      <c r="B35" s="7"/>
      <c r="C35" s="7"/>
      <c r="D35" s="7"/>
      <c r="E35" s="7"/>
      <c r="F35" s="7"/>
      <c r="G35" s="7"/>
      <c r="H35" s="7"/>
      <c r="I35" s="6"/>
      <c r="J35" s="9"/>
      <c r="K35" s="9"/>
    </row>
    <row r="36" spans="1:11">
      <c r="A36" s="8"/>
      <c r="B36" s="7"/>
      <c r="C36" s="7"/>
      <c r="D36" s="7"/>
      <c r="E36" s="7"/>
      <c r="F36" s="7"/>
      <c r="G36" s="7"/>
      <c r="H36" s="7"/>
      <c r="I36" s="6"/>
      <c r="J36" s="9"/>
      <c r="K36" s="9"/>
    </row>
    <row r="37" spans="1:11">
      <c r="A37" s="8"/>
      <c r="B37" s="7"/>
      <c r="C37" s="7"/>
      <c r="D37" s="7"/>
      <c r="E37" s="7"/>
      <c r="F37" s="7"/>
      <c r="G37" s="7"/>
      <c r="H37" s="7"/>
      <c r="I37" s="6"/>
      <c r="J37" s="9"/>
      <c r="K37" s="9"/>
    </row>
    <row r="38" spans="1:11">
      <c r="A38" s="8"/>
      <c r="B38" s="7"/>
      <c r="C38" s="7"/>
      <c r="D38" s="7"/>
      <c r="E38" s="7"/>
      <c r="F38" s="7"/>
      <c r="G38" s="7"/>
      <c r="H38" s="7"/>
      <c r="I38" s="6"/>
      <c r="J38" s="9"/>
      <c r="K38" s="9"/>
    </row>
    <row r="39" spans="1:11">
      <c r="A39" s="8"/>
      <c r="B39" s="7"/>
      <c r="C39" s="7"/>
      <c r="D39" s="7"/>
      <c r="E39" s="7"/>
      <c r="F39" s="7"/>
      <c r="G39" s="7"/>
      <c r="H39" s="7"/>
      <c r="I39" s="6"/>
      <c r="J39" s="9"/>
      <c r="K39" s="9"/>
    </row>
    <row r="40" spans="1:11">
      <c r="A40" s="8"/>
      <c r="B40" s="7"/>
      <c r="C40" s="7"/>
      <c r="D40" s="7"/>
      <c r="E40" s="7"/>
      <c r="F40" s="7"/>
      <c r="G40" s="7"/>
      <c r="H40" s="7"/>
      <c r="I40" s="6"/>
      <c r="J40" s="9"/>
      <c r="K40" s="9"/>
    </row>
    <row r="41" spans="1:11">
      <c r="A41" s="8"/>
      <c r="B41" s="7"/>
      <c r="C41" s="7"/>
      <c r="D41" s="7"/>
      <c r="E41" s="7"/>
      <c r="F41" s="7"/>
      <c r="G41" s="7"/>
      <c r="H41" s="7"/>
      <c r="I41" s="6"/>
      <c r="J41" s="9"/>
      <c r="K41" s="9"/>
    </row>
    <row r="42" spans="1:11">
      <c r="A42" s="8"/>
      <c r="B42" s="7"/>
      <c r="C42" s="7"/>
      <c r="D42" s="7"/>
      <c r="E42" s="7"/>
      <c r="F42" s="7"/>
      <c r="G42" s="7"/>
      <c r="H42" s="7"/>
      <c r="I42" s="6"/>
      <c r="J42" s="9"/>
      <c r="K42" s="9"/>
    </row>
    <row r="43" spans="1:11">
      <c r="A43" s="8"/>
      <c r="B43" s="7"/>
      <c r="C43" s="7"/>
      <c r="D43" s="7"/>
      <c r="E43" s="7"/>
      <c r="F43" s="7"/>
      <c r="G43" s="7"/>
      <c r="H43" s="7"/>
      <c r="I43" s="6"/>
      <c r="J43" s="9"/>
      <c r="K43" s="9"/>
    </row>
    <row r="44" spans="1:11">
      <c r="A44" s="8"/>
      <c r="B44" s="7"/>
      <c r="C44" s="7"/>
      <c r="D44" s="7"/>
      <c r="E44" s="7"/>
      <c r="F44" s="7"/>
      <c r="G44" s="7"/>
      <c r="H44" s="7"/>
      <c r="I44" s="6"/>
      <c r="J44" s="9"/>
      <c r="K44" s="9"/>
    </row>
    <row r="45" spans="1:11">
      <c r="A45" s="8"/>
      <c r="B45" s="7"/>
      <c r="C45" s="7"/>
      <c r="D45" s="7"/>
      <c r="E45" s="7"/>
      <c r="F45" s="7"/>
      <c r="G45" s="7"/>
      <c r="H45" s="7"/>
      <c r="I45" s="9"/>
      <c r="J45" s="9"/>
      <c r="K45" s="9"/>
    </row>
    <row r="46" spans="1:11">
      <c r="A46" s="8"/>
      <c r="B46" s="7"/>
      <c r="C46" s="7"/>
      <c r="D46" s="7"/>
      <c r="E46" s="7"/>
      <c r="F46" s="7"/>
      <c r="G46" s="7"/>
      <c r="H46" s="7"/>
      <c r="I46" s="9"/>
      <c r="J46" s="9"/>
      <c r="K46" s="9"/>
    </row>
    <row r="47" spans="1:11">
      <c r="A47" s="8"/>
      <c r="B47" s="7"/>
      <c r="C47" s="7"/>
      <c r="D47" s="7"/>
      <c r="E47" s="7"/>
      <c r="F47" s="7"/>
      <c r="G47" s="7"/>
      <c r="H47" s="7"/>
      <c r="I47" s="9"/>
      <c r="J47" s="9"/>
      <c r="K47" s="9"/>
    </row>
    <row r="48" spans="1:11">
      <c r="A48" s="8"/>
      <c r="B48" s="7"/>
      <c r="C48" s="7"/>
      <c r="D48" s="7"/>
      <c r="E48" s="7"/>
      <c r="F48" s="7"/>
      <c r="G48" s="7"/>
      <c r="H48" s="7"/>
      <c r="I48" s="9"/>
      <c r="J48" s="9"/>
      <c r="K48" s="9"/>
    </row>
    <row r="49" spans="1:19">
      <c r="A49" s="8"/>
      <c r="B49" s="7"/>
      <c r="C49" s="7"/>
      <c r="D49" s="7"/>
      <c r="E49" s="7"/>
      <c r="F49" s="7"/>
      <c r="G49" s="7"/>
      <c r="H49" s="7"/>
      <c r="I49" s="9"/>
      <c r="J49" s="9"/>
      <c r="K49" s="9"/>
    </row>
    <row r="50" spans="1:19">
      <c r="A50" s="8"/>
      <c r="B50" s="7"/>
      <c r="C50" s="7"/>
      <c r="D50" s="7"/>
      <c r="E50" s="7"/>
      <c r="F50" s="7"/>
      <c r="G50" s="7"/>
      <c r="H50" s="7"/>
      <c r="I50" s="9"/>
      <c r="J50" s="9"/>
      <c r="K50" s="9"/>
    </row>
    <row r="51" spans="1:19">
      <c r="A51" s="8"/>
      <c r="B51" s="7"/>
      <c r="C51" s="7"/>
      <c r="D51" s="7"/>
      <c r="E51" s="7"/>
      <c r="F51" s="7"/>
      <c r="G51" s="7"/>
      <c r="H51" s="7"/>
      <c r="I51" s="9"/>
      <c r="J51" s="9"/>
      <c r="K51" s="9"/>
    </row>
    <row r="52" spans="1:19">
      <c r="A52" s="8"/>
      <c r="B52" s="7"/>
      <c r="C52" s="7"/>
      <c r="D52" s="7"/>
      <c r="E52" s="7"/>
      <c r="F52" s="7"/>
      <c r="G52" s="7"/>
      <c r="H52" s="7"/>
      <c r="I52" s="9"/>
      <c r="J52" s="9"/>
      <c r="K52" s="9"/>
    </row>
    <row r="53" spans="1:19">
      <c r="A53" s="8"/>
      <c r="B53" s="7"/>
      <c r="C53" s="7"/>
      <c r="D53" s="7"/>
      <c r="E53" s="7"/>
      <c r="F53" s="7"/>
      <c r="G53" s="7"/>
      <c r="H53" s="7"/>
      <c r="I53" s="9"/>
      <c r="J53" s="9"/>
      <c r="K53" s="9"/>
    </row>
    <row r="54" spans="1:19">
      <c r="A54" s="8"/>
      <c r="B54" s="7"/>
      <c r="C54" s="7"/>
      <c r="D54" s="7"/>
      <c r="E54" s="7"/>
      <c r="F54" s="7"/>
      <c r="G54" s="7"/>
      <c r="H54" s="7"/>
      <c r="I54" s="9"/>
      <c r="J54" s="9"/>
      <c r="K54" s="9"/>
    </row>
    <row r="55" spans="1:19">
      <c r="A55" s="7"/>
      <c r="B55" s="7"/>
      <c r="C55" s="7"/>
      <c r="D55" s="7"/>
      <c r="E55" s="7"/>
      <c r="F55" s="7"/>
      <c r="G55" s="7"/>
      <c r="H55" s="7"/>
      <c r="I55" s="9"/>
      <c r="J55" s="9"/>
      <c r="K55" s="9"/>
      <c r="N55" s="7"/>
      <c r="O55" s="7"/>
      <c r="P55" s="7"/>
      <c r="Q55" s="7"/>
      <c r="R55" s="7"/>
      <c r="S55" s="7"/>
    </row>
    <row r="56" spans="1:19">
      <c r="A56" s="7"/>
      <c r="B56" s="7"/>
      <c r="C56" s="7"/>
      <c r="D56" s="7"/>
      <c r="E56" s="7"/>
      <c r="F56" s="7"/>
      <c r="G56" s="7"/>
      <c r="H56" s="7"/>
      <c r="I56" s="6"/>
      <c r="J56" s="9"/>
      <c r="K56" s="9"/>
      <c r="N56" s="22"/>
      <c r="O56" s="22"/>
      <c r="P56" s="22"/>
      <c r="Q56" s="22"/>
      <c r="R56" s="22"/>
      <c r="S56" s="22"/>
    </row>
    <row r="57" spans="1:19">
      <c r="I57" s="10"/>
    </row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G3:H3"/>
    <mergeCell ref="C3:D3"/>
    <mergeCell ref="E3:F3"/>
    <mergeCell ref="A5:A6"/>
    <mergeCell ref="B5:B6"/>
    <mergeCell ref="C5:C6"/>
    <mergeCell ref="D5:D6"/>
    <mergeCell ref="E5:E6"/>
    <mergeCell ref="I5:I6"/>
    <mergeCell ref="J5:J6"/>
    <mergeCell ref="K5:K6"/>
    <mergeCell ref="C4:D4"/>
    <mergeCell ref="E4:F4"/>
    <mergeCell ref="G4:H4"/>
    <mergeCell ref="F5:G5"/>
    <mergeCell ref="H5:H6"/>
    <mergeCell ref="N9:S9"/>
    <mergeCell ref="N10:P10"/>
    <mergeCell ref="Q10:S10"/>
    <mergeCell ref="Q5:Q6"/>
    <mergeCell ref="R5:R6"/>
    <mergeCell ref="S5:S6"/>
    <mergeCell ref="R7:R8"/>
    <mergeCell ref="S7:S8"/>
    <mergeCell ref="N5:N6"/>
    <mergeCell ref="O5:O6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Pr codeName="Лист9"/>
  <dimension ref="A1:S1000"/>
  <sheetViews>
    <sheetView workbookViewId="0">
      <selection activeCell="K10" sqref="K10:K11"/>
    </sheetView>
  </sheetViews>
  <sheetFormatPr defaultColWidth="14.42578125" defaultRowHeight="15" customHeight="1"/>
  <cols>
    <col min="1" max="1" width="10.140625" customWidth="1"/>
    <col min="2" max="8" width="8.7109375" customWidth="1"/>
    <col min="9" max="9" width="14" customWidth="1"/>
    <col min="10" max="10" width="15.5703125" customWidth="1"/>
    <col min="11" max="11" width="12.85546875" customWidth="1"/>
    <col min="12" max="13" width="8.7109375" customWidth="1"/>
    <col min="14" max="14" width="12" customWidth="1"/>
    <col min="15" max="15" width="11.5703125" customWidth="1"/>
    <col min="16" max="16" width="13.5703125" customWidth="1"/>
    <col min="17" max="17" width="12" customWidth="1"/>
    <col min="18" max="18" width="10.42578125" customWidth="1"/>
    <col min="19" max="19" width="12.7109375" customWidth="1"/>
    <col min="20" max="26" width="8.7109375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213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28</v>
      </c>
      <c r="B4" s="2" t="s">
        <v>32</v>
      </c>
      <c r="C4" s="500">
        <f>AVERAGEA(I7:I28)</f>
        <v>0.81756250426770616</v>
      </c>
      <c r="D4" s="501"/>
      <c r="E4" s="500">
        <f>AVERAGEA(J7:J28)</f>
        <v>15.989483022628111</v>
      </c>
      <c r="F4" s="501"/>
      <c r="G4" s="500">
        <f>AVERAGEA(K7:K28)</f>
        <v>1.2627297965563535</v>
      </c>
      <c r="H4" s="501"/>
      <c r="I4" s="3">
        <f>C4*K2</f>
        <v>174.1408134090214</v>
      </c>
      <c r="J4" s="3">
        <f>I4*E4</f>
        <v>2784.4215795501973</v>
      </c>
      <c r="K4" s="3">
        <f>K2*G4</f>
        <v>268.96144666650332</v>
      </c>
    </row>
    <row r="5" spans="1:19" ht="15" customHeight="1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  <c r="N6" s="492"/>
      <c r="O6" s="492"/>
      <c r="P6" s="492"/>
      <c r="Q6" s="492"/>
      <c r="R6" s="492"/>
      <c r="S6" s="492"/>
    </row>
    <row r="7" spans="1:19" ht="15.75">
      <c r="A7" s="28">
        <v>45354</v>
      </c>
      <c r="B7" s="29">
        <v>1468</v>
      </c>
      <c r="C7" s="29" t="s">
        <v>74</v>
      </c>
      <c r="D7" s="29">
        <v>211</v>
      </c>
      <c r="E7" s="29">
        <v>5</v>
      </c>
      <c r="F7" s="29">
        <v>177</v>
      </c>
      <c r="G7" s="29">
        <v>2908</v>
      </c>
      <c r="H7" s="29">
        <v>223</v>
      </c>
      <c r="I7" s="25">
        <f>F7/(D7+E7)</f>
        <v>0.81944444444444442</v>
      </c>
      <c r="J7" s="25">
        <f>G7/F7</f>
        <v>16.429378531073446</v>
      </c>
      <c r="K7" s="25">
        <f>H7/(D7+E7)</f>
        <v>1.0324074074074074</v>
      </c>
      <c r="N7" s="13" t="s">
        <v>49</v>
      </c>
      <c r="O7" s="14">
        <f>K2</f>
        <v>213</v>
      </c>
      <c r="P7" s="15">
        <f>I4</f>
        <v>174.1408134090214</v>
      </c>
      <c r="Q7" s="15">
        <f>J4</f>
        <v>2784.4215795501973</v>
      </c>
      <c r="R7" s="493">
        <f>Q7/P7</f>
        <v>15.989483022628111</v>
      </c>
      <c r="S7" s="493">
        <f>P7/O7</f>
        <v>0.81756250426770616</v>
      </c>
    </row>
    <row r="8" spans="1:19" ht="15.75">
      <c r="A8" s="24">
        <v>45361</v>
      </c>
      <c r="B8" s="23">
        <v>1468</v>
      </c>
      <c r="C8" s="23" t="s">
        <v>74</v>
      </c>
      <c r="D8" s="23">
        <v>199</v>
      </c>
      <c r="E8" s="23">
        <v>13</v>
      </c>
      <c r="F8" s="23">
        <v>178</v>
      </c>
      <c r="G8" s="23">
        <v>2835</v>
      </c>
      <c r="H8" s="23">
        <v>0</v>
      </c>
      <c r="I8" s="25">
        <f>F8/(D8+E8)</f>
        <v>0.839622641509434</v>
      </c>
      <c r="J8" s="25">
        <f>G8/F8</f>
        <v>15.926966292134832</v>
      </c>
      <c r="K8" s="25">
        <f>H8/(D8+E8)</f>
        <v>0</v>
      </c>
      <c r="N8" s="13" t="s">
        <v>50</v>
      </c>
      <c r="O8" s="14">
        <f>O7</f>
        <v>213</v>
      </c>
      <c r="P8" s="16">
        <f>O8*S7</f>
        <v>174.1408134090214</v>
      </c>
      <c r="Q8" s="16">
        <f>P8*R7</f>
        <v>2784.4215795501973</v>
      </c>
      <c r="R8" s="492"/>
      <c r="S8" s="492"/>
    </row>
    <row r="9" spans="1:19">
      <c r="A9" s="24">
        <v>45368</v>
      </c>
      <c r="B9" s="23">
        <v>1468</v>
      </c>
      <c r="C9" s="23" t="s">
        <v>74</v>
      </c>
      <c r="D9" s="23">
        <v>196</v>
      </c>
      <c r="E9" s="23">
        <v>14</v>
      </c>
      <c r="F9" s="23">
        <v>162</v>
      </c>
      <c r="G9" s="23">
        <v>2694</v>
      </c>
      <c r="H9" s="23">
        <v>435</v>
      </c>
      <c r="I9" s="25">
        <f>F9/(D9+E9)</f>
        <v>0.77142857142857146</v>
      </c>
      <c r="J9" s="25">
        <f>G9/F9</f>
        <v>16.62962962962963</v>
      </c>
      <c r="K9" s="25">
        <f>H9/(D9+E9)</f>
        <v>2.0714285714285716</v>
      </c>
      <c r="N9" s="494" t="s">
        <v>51</v>
      </c>
      <c r="O9" s="495"/>
      <c r="P9" s="495"/>
      <c r="Q9" s="495"/>
      <c r="R9" s="495"/>
      <c r="S9" s="496"/>
    </row>
    <row r="10" spans="1:19">
      <c r="A10" s="24">
        <v>45375</v>
      </c>
      <c r="B10" s="23">
        <v>1468</v>
      </c>
      <c r="C10" s="23" t="s">
        <v>62</v>
      </c>
      <c r="D10" s="23">
        <v>161</v>
      </c>
      <c r="E10" s="23">
        <v>13</v>
      </c>
      <c r="F10" s="23">
        <v>149</v>
      </c>
      <c r="G10" s="23">
        <v>2369</v>
      </c>
      <c r="H10" s="23">
        <v>304</v>
      </c>
      <c r="I10" s="25">
        <f>F10/(D10+E10)</f>
        <v>0.85632183908045978</v>
      </c>
      <c r="J10" s="25">
        <f>G10/F10</f>
        <v>15.899328859060402</v>
      </c>
      <c r="K10" s="25">
        <f>H10/(D10+E10)</f>
        <v>1.7471264367816093</v>
      </c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24">
        <v>45382</v>
      </c>
      <c r="B11" s="23">
        <v>1468</v>
      </c>
      <c r="C11" s="23" t="s">
        <v>61</v>
      </c>
      <c r="D11" s="23">
        <v>190</v>
      </c>
      <c r="E11" s="23">
        <v>11</v>
      </c>
      <c r="F11" s="23">
        <v>161</v>
      </c>
      <c r="G11" s="23">
        <v>2425</v>
      </c>
      <c r="H11" s="23">
        <v>294</v>
      </c>
      <c r="I11" s="25">
        <f>F11/(D11+E11)</f>
        <v>0.80099502487562191</v>
      </c>
      <c r="J11" s="25">
        <f>G11/F11</f>
        <v>15.062111801242237</v>
      </c>
      <c r="K11" s="25">
        <f>H11/(D11+E11)</f>
        <v>1.4626865671641791</v>
      </c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N12" s="17">
        <v>1</v>
      </c>
      <c r="O12" s="18">
        <v>0</v>
      </c>
      <c r="P12" s="19">
        <f>O12*R7</f>
        <v>0</v>
      </c>
      <c r="Q12" s="17">
        <v>3</v>
      </c>
      <c r="R12" s="18">
        <v>40</v>
      </c>
      <c r="S12" s="19">
        <f>R12*R7</f>
        <v>639.5793209051244</v>
      </c>
    </row>
    <row r="13" spans="1:19" ht="15.7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N13" s="17">
        <v>2</v>
      </c>
      <c r="O13" s="18">
        <v>0</v>
      </c>
      <c r="P13" s="19">
        <f>O13*R7</f>
        <v>0</v>
      </c>
      <c r="Q13" s="17">
        <v>4</v>
      </c>
      <c r="R13" s="18">
        <v>35</v>
      </c>
      <c r="S13" s="19">
        <f>R7*R13</f>
        <v>559.63190579198385</v>
      </c>
    </row>
    <row r="14" spans="1:19" ht="15.7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N14" s="17">
        <v>3</v>
      </c>
      <c r="O14" s="18">
        <v>1</v>
      </c>
      <c r="P14" s="19">
        <f>R7*O14</f>
        <v>15.989483022628111</v>
      </c>
      <c r="Q14" s="17">
        <v>5</v>
      </c>
      <c r="R14" s="18">
        <v>30</v>
      </c>
      <c r="S14" s="19">
        <f>R14*R7</f>
        <v>479.6844906788433</v>
      </c>
    </row>
    <row r="15" spans="1:19" ht="15.7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N15" s="17">
        <v>4</v>
      </c>
      <c r="O15" s="18">
        <v>0</v>
      </c>
      <c r="P15" s="19">
        <f>R7*O15</f>
        <v>0</v>
      </c>
      <c r="Q15" s="17">
        <v>1</v>
      </c>
      <c r="R15" s="18">
        <v>20</v>
      </c>
      <c r="S15" s="19">
        <f>R7*R15</f>
        <v>319.7896604525622</v>
      </c>
    </row>
    <row r="16" spans="1:19" ht="15.7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N16" s="17">
        <v>5</v>
      </c>
      <c r="O16" s="18">
        <v>0</v>
      </c>
      <c r="P16" s="19">
        <f>R7*O16</f>
        <v>0</v>
      </c>
      <c r="Q16" s="17"/>
      <c r="R16" s="18">
        <v>24</v>
      </c>
      <c r="S16" s="19">
        <f>R7*R16</f>
        <v>383.74759254307469</v>
      </c>
    </row>
    <row r="17" spans="1:19" ht="15.7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N17" s="17">
        <v>6</v>
      </c>
      <c r="O17" s="18">
        <v>0</v>
      </c>
      <c r="P17" s="19">
        <f>R7*O17</f>
        <v>0</v>
      </c>
      <c r="Q17" s="17"/>
      <c r="R17" s="18">
        <v>24</v>
      </c>
      <c r="S17" s="19">
        <f>R7*R17</f>
        <v>383.74759254307469</v>
      </c>
    </row>
    <row r="18" spans="1:19" ht="15.7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N18" s="17">
        <v>7</v>
      </c>
      <c r="O18" s="18">
        <v>0</v>
      </c>
      <c r="P18" s="19">
        <f>R7*O18</f>
        <v>0</v>
      </c>
      <c r="Q18" s="17"/>
      <c r="R18" s="18">
        <v>0</v>
      </c>
      <c r="S18" s="19">
        <f>R7*R18</f>
        <v>0</v>
      </c>
    </row>
    <row r="19" spans="1:19" ht="15.7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N19" s="17">
        <v>8</v>
      </c>
      <c r="O19" s="18">
        <v>30</v>
      </c>
      <c r="P19" s="19">
        <f>R7*O19</f>
        <v>479.6844906788433</v>
      </c>
      <c r="Q19" s="17"/>
      <c r="R19" s="18">
        <v>0</v>
      </c>
      <c r="S19" s="19">
        <f>R7*R19</f>
        <v>0</v>
      </c>
    </row>
    <row r="20" spans="1:19" ht="15.7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N20" s="17">
        <v>9</v>
      </c>
      <c r="O20" s="18">
        <v>50</v>
      </c>
      <c r="P20" s="19">
        <f>R7*O20</f>
        <v>799.47415113140551</v>
      </c>
      <c r="Q20" s="17"/>
      <c r="R20" s="18">
        <v>0</v>
      </c>
      <c r="S20" s="19">
        <f>R7*R20</f>
        <v>0</v>
      </c>
    </row>
    <row r="21" spans="1:19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N21" s="20" t="s">
        <v>53</v>
      </c>
      <c r="O21" s="18">
        <v>50</v>
      </c>
      <c r="P21" s="19">
        <f>R7*O21</f>
        <v>799.47415113140551</v>
      </c>
      <c r="Q21" s="17"/>
      <c r="R21" s="18"/>
      <c r="S21" s="19">
        <f>R7*R21</f>
        <v>0</v>
      </c>
    </row>
    <row r="22" spans="1:19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N22" s="13" t="s">
        <v>59</v>
      </c>
      <c r="O22" s="21">
        <f>P8-O12-O13-O14-O15-O16-O17-O18-O19-O20-O21</f>
        <v>43.140813409021405</v>
      </c>
      <c r="P22" s="21">
        <f>Q8-P12-P13-P14-P15-P16-P17-P18-P19-P20-P21</f>
        <v>689.79930358591491</v>
      </c>
      <c r="Q22" s="13" t="s">
        <v>59</v>
      </c>
      <c r="R22" s="21">
        <f>P8-R12-R13-R14-R15-R16-R17-R18-R19-R20-R21</f>
        <v>1.1408134090214048</v>
      </c>
      <c r="S22" s="21">
        <f>Q8-S12-S13-S14-S15-S16-S17-S18-S19-S20-S21</f>
        <v>18.241016635534152</v>
      </c>
    </row>
    <row r="23" spans="1:19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N23" s="13" t="s">
        <v>60</v>
      </c>
      <c r="O23" s="16">
        <f>O12+O13+O14+O15+O16+O17+O18+O19+O20+O21</f>
        <v>131</v>
      </c>
      <c r="P23" s="16">
        <f>P12+P13+P14+P15+P16+P17+P18+P19+P20+P21</f>
        <v>2094.6222759642824</v>
      </c>
      <c r="Q23" s="13" t="s">
        <v>60</v>
      </c>
      <c r="R23" s="16">
        <f>R12+R13+R14+R15+R16+R17+R18+R19+R20+R21</f>
        <v>173</v>
      </c>
      <c r="S23" s="16">
        <f>S12+S13+S14+S15+S16+S17+S18+S19+S20+S21</f>
        <v>2766.1805629146629</v>
      </c>
    </row>
    <row r="24" spans="1:19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9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</row>
    <row r="26" spans="1:19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spans="1:19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spans="1:19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19" ht="15.75" customHeight="1"/>
    <row r="30" spans="1:19" ht="15.75" customHeight="1"/>
    <row r="31" spans="1:19" ht="15.75" customHeight="1"/>
    <row r="32" spans="1:1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7"/>
      <c r="O55" s="7"/>
      <c r="P55" s="7"/>
      <c r="Q55" s="7"/>
      <c r="R55" s="7"/>
      <c r="S55" s="7"/>
    </row>
    <row r="56" spans="14:19" ht="15.75" customHeight="1">
      <c r="N56" s="22"/>
      <c r="O56" s="22"/>
      <c r="P56" s="22"/>
      <c r="Q56" s="22"/>
      <c r="R56" s="22"/>
      <c r="S56" s="2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O5:O6"/>
    <mergeCell ref="N10:P10"/>
    <mergeCell ref="Q10:S10"/>
    <mergeCell ref="Q5:Q6"/>
    <mergeCell ref="R5:R6"/>
    <mergeCell ref="S5:S6"/>
    <mergeCell ref="R7:R8"/>
    <mergeCell ref="S7:S8"/>
    <mergeCell ref="N9:S9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sheetPr codeName="Лист10"/>
  <dimension ref="A1:S1000"/>
  <sheetViews>
    <sheetView workbookViewId="0">
      <selection activeCell="G4" sqref="G4:H4"/>
    </sheetView>
  </sheetViews>
  <sheetFormatPr defaultColWidth="14.42578125" defaultRowHeight="15" customHeight="1"/>
  <cols>
    <col min="1" max="1" width="10.140625" customWidth="1"/>
    <col min="2" max="8" width="8.7109375" customWidth="1"/>
    <col min="9" max="9" width="14" customWidth="1"/>
    <col min="10" max="10" width="15.5703125" customWidth="1"/>
    <col min="11" max="11" width="12.85546875" customWidth="1"/>
    <col min="12" max="13" width="8.7109375" customWidth="1"/>
    <col min="14" max="14" width="12" customWidth="1"/>
    <col min="15" max="15" width="11.5703125" customWidth="1"/>
    <col min="16" max="16" width="13.5703125" customWidth="1"/>
    <col min="17" max="17" width="12" customWidth="1"/>
    <col min="18" max="18" width="10.42578125" customWidth="1"/>
    <col min="19" max="19" width="12.7109375" customWidth="1"/>
    <col min="20" max="26" width="8.7109375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150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28</v>
      </c>
      <c r="B4" s="2" t="s">
        <v>33</v>
      </c>
      <c r="C4" s="500">
        <f>AVERAGEA(I7:I56)</f>
        <v>0.43613492972967977</v>
      </c>
      <c r="D4" s="501"/>
      <c r="E4" s="500">
        <f>AVERAGEA(J7:J56)</f>
        <v>15.688618859347493</v>
      </c>
      <c r="F4" s="501"/>
      <c r="G4" s="500">
        <f>AVERAGEA(K7:K56)</f>
        <v>1.8305659802739622</v>
      </c>
      <c r="H4" s="501"/>
      <c r="I4" s="3">
        <f>C4*K2</f>
        <v>65.420239459451963</v>
      </c>
      <c r="J4" s="3">
        <f>I4*E4</f>
        <v>1026.353202566587</v>
      </c>
      <c r="K4" s="3">
        <f>K2*G4</f>
        <v>274.58489704109434</v>
      </c>
    </row>
    <row r="5" spans="1:19" ht="15" customHeight="1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2"/>
      <c r="B6" s="492"/>
      <c r="C6" s="492"/>
      <c r="D6" s="492"/>
      <c r="E6" s="492"/>
      <c r="F6" s="4" t="s">
        <v>20</v>
      </c>
      <c r="G6" s="5" t="s">
        <v>21</v>
      </c>
      <c r="H6" s="492"/>
      <c r="I6" s="492"/>
      <c r="J6" s="492"/>
      <c r="K6" s="492"/>
      <c r="N6" s="492"/>
      <c r="O6" s="492"/>
      <c r="P6" s="492"/>
      <c r="Q6" s="492"/>
      <c r="R6" s="492"/>
      <c r="S6" s="492"/>
    </row>
    <row r="7" spans="1:19" ht="15.75">
      <c r="A7" s="11">
        <v>45047</v>
      </c>
      <c r="B7" s="12" t="s">
        <v>34</v>
      </c>
      <c r="C7" s="12" t="s">
        <v>23</v>
      </c>
      <c r="D7" s="12">
        <v>128</v>
      </c>
      <c r="E7" s="12">
        <v>3</v>
      </c>
      <c r="F7" s="12">
        <v>54</v>
      </c>
      <c r="G7" s="12">
        <v>813</v>
      </c>
      <c r="H7" s="12"/>
      <c r="I7" s="6">
        <f t="shared" ref="I7:I12" si="0">F7/(D7+E7)</f>
        <v>0.41221374045801529</v>
      </c>
      <c r="J7" s="6">
        <f t="shared" ref="J7:J12" si="1">G7/F7</f>
        <v>15.055555555555555</v>
      </c>
      <c r="K7" s="6">
        <f t="shared" ref="K7:K12" si="2">H7/(D7+E7)</f>
        <v>0</v>
      </c>
      <c r="N7" s="13" t="s">
        <v>49</v>
      </c>
      <c r="O7" s="14">
        <f>K2</f>
        <v>150</v>
      </c>
      <c r="P7" s="15">
        <f>I4</f>
        <v>65.420239459451963</v>
      </c>
      <c r="Q7" s="15">
        <f>J4</f>
        <v>1026.353202566587</v>
      </c>
      <c r="R7" s="493">
        <f>Q7/P7</f>
        <v>15.688618859347491</v>
      </c>
      <c r="S7" s="493">
        <f>P7/O7</f>
        <v>0.43613492972967977</v>
      </c>
    </row>
    <row r="8" spans="1:19" ht="15.75">
      <c r="A8" s="11">
        <v>45054</v>
      </c>
      <c r="B8" s="12" t="s">
        <v>35</v>
      </c>
      <c r="C8" s="12" t="s">
        <v>23</v>
      </c>
      <c r="D8" s="12">
        <v>138</v>
      </c>
      <c r="E8" s="12">
        <v>5</v>
      </c>
      <c r="F8" s="12">
        <v>66</v>
      </c>
      <c r="G8" s="12">
        <v>1000</v>
      </c>
      <c r="H8" s="12">
        <v>282</v>
      </c>
      <c r="I8" s="6">
        <f t="shared" si="0"/>
        <v>0.46153846153846156</v>
      </c>
      <c r="J8" s="6">
        <f t="shared" si="1"/>
        <v>15.151515151515152</v>
      </c>
      <c r="K8" s="6">
        <f t="shared" si="2"/>
        <v>1.9720279720279721</v>
      </c>
      <c r="N8" s="13" t="s">
        <v>50</v>
      </c>
      <c r="O8" s="14">
        <f>O7</f>
        <v>150</v>
      </c>
      <c r="P8" s="16">
        <f>O8*S7</f>
        <v>65.420239459451963</v>
      </c>
      <c r="Q8" s="16">
        <f>P8*R7</f>
        <v>1026.353202566587</v>
      </c>
      <c r="R8" s="492"/>
      <c r="S8" s="492"/>
    </row>
    <row r="9" spans="1:19">
      <c r="A9" s="11">
        <v>45061</v>
      </c>
      <c r="B9" s="12" t="s">
        <v>35</v>
      </c>
      <c r="C9" s="12" t="s">
        <v>23</v>
      </c>
      <c r="D9" s="12">
        <v>134</v>
      </c>
      <c r="E9" s="12">
        <v>4</v>
      </c>
      <c r="F9" s="12">
        <v>57</v>
      </c>
      <c r="G9" s="12">
        <v>916</v>
      </c>
      <c r="H9" s="12">
        <v>440</v>
      </c>
      <c r="I9" s="6">
        <f t="shared" si="0"/>
        <v>0.41304347826086957</v>
      </c>
      <c r="J9" s="6">
        <f t="shared" si="1"/>
        <v>16.07017543859649</v>
      </c>
      <c r="K9" s="6">
        <f t="shared" si="2"/>
        <v>3.1884057971014492</v>
      </c>
      <c r="N9" s="494" t="s">
        <v>51</v>
      </c>
      <c r="O9" s="495"/>
      <c r="P9" s="495"/>
      <c r="Q9" s="495"/>
      <c r="R9" s="495"/>
      <c r="S9" s="496"/>
    </row>
    <row r="10" spans="1:19">
      <c r="A10" s="11">
        <v>45068</v>
      </c>
      <c r="B10" s="12" t="s">
        <v>35</v>
      </c>
      <c r="C10" s="12" t="s">
        <v>23</v>
      </c>
      <c r="D10" s="12">
        <v>127</v>
      </c>
      <c r="E10" s="12">
        <v>7</v>
      </c>
      <c r="F10" s="12">
        <v>65</v>
      </c>
      <c r="G10" s="12">
        <v>1010</v>
      </c>
      <c r="H10" s="12">
        <v>101</v>
      </c>
      <c r="I10" s="6">
        <f t="shared" si="0"/>
        <v>0.48507462686567165</v>
      </c>
      <c r="J10" s="6">
        <f t="shared" si="1"/>
        <v>15.538461538461538</v>
      </c>
      <c r="K10" s="6">
        <f t="shared" si="2"/>
        <v>0.75373134328358204</v>
      </c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11">
        <v>45075</v>
      </c>
      <c r="B11" s="12" t="s">
        <v>35</v>
      </c>
      <c r="C11" s="12" t="s">
        <v>23</v>
      </c>
      <c r="D11" s="12">
        <v>86</v>
      </c>
      <c r="E11" s="12">
        <v>9</v>
      </c>
      <c r="F11" s="12">
        <v>43</v>
      </c>
      <c r="G11" s="12">
        <v>651</v>
      </c>
      <c r="H11" s="12"/>
      <c r="I11" s="6">
        <f t="shared" si="0"/>
        <v>0.45263157894736844</v>
      </c>
      <c r="J11" s="6">
        <f t="shared" si="1"/>
        <v>15.13953488372093</v>
      </c>
      <c r="K11" s="6">
        <f t="shared" si="2"/>
        <v>0</v>
      </c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11">
        <v>45082</v>
      </c>
      <c r="B12" s="12" t="s">
        <v>35</v>
      </c>
      <c r="C12" s="12" t="s">
        <v>23</v>
      </c>
      <c r="D12" s="12">
        <v>112</v>
      </c>
      <c r="E12" s="12">
        <v>18</v>
      </c>
      <c r="F12" s="12">
        <v>51</v>
      </c>
      <c r="G12" s="12">
        <v>876</v>
      </c>
      <c r="H12" s="12">
        <v>659</v>
      </c>
      <c r="I12" s="6">
        <f t="shared" si="0"/>
        <v>0.3923076923076923</v>
      </c>
      <c r="J12" s="6">
        <f t="shared" si="1"/>
        <v>17.176470588235293</v>
      </c>
      <c r="K12" s="6">
        <f t="shared" si="2"/>
        <v>5.069230769230769</v>
      </c>
      <c r="N12" s="17">
        <v>1</v>
      </c>
      <c r="O12" s="18">
        <v>0</v>
      </c>
      <c r="P12" s="19">
        <f>O12*R7</f>
        <v>0</v>
      </c>
      <c r="Q12" s="17">
        <v>3</v>
      </c>
      <c r="R12" s="18">
        <v>35</v>
      </c>
      <c r="S12" s="19">
        <f>R12*R7</f>
        <v>549.10166007716214</v>
      </c>
    </row>
    <row r="13" spans="1:19" ht="15.75">
      <c r="A13" s="11"/>
      <c r="B13" s="12"/>
      <c r="C13" s="12"/>
      <c r="D13" s="12"/>
      <c r="E13" s="12"/>
      <c r="F13" s="12"/>
      <c r="G13" s="12"/>
      <c r="H13" s="12"/>
      <c r="I13" s="6"/>
      <c r="J13" s="6"/>
      <c r="K13" s="6"/>
      <c r="N13" s="17">
        <v>2</v>
      </c>
      <c r="O13" s="18">
        <v>0</v>
      </c>
      <c r="P13" s="19">
        <f>O13*R7</f>
        <v>0</v>
      </c>
      <c r="Q13" s="17">
        <v>4</v>
      </c>
      <c r="R13" s="18">
        <v>18</v>
      </c>
      <c r="S13" s="19">
        <f>R7*R13</f>
        <v>282.39513946825485</v>
      </c>
    </row>
    <row r="14" spans="1:19" ht="15.75">
      <c r="A14" s="11"/>
      <c r="B14" s="12"/>
      <c r="C14" s="12"/>
      <c r="D14" s="12"/>
      <c r="E14" s="12"/>
      <c r="F14" s="12"/>
      <c r="G14" s="12"/>
      <c r="H14" s="12"/>
      <c r="I14" s="6"/>
      <c r="J14" s="6"/>
      <c r="K14" s="6"/>
      <c r="N14" s="17">
        <v>3</v>
      </c>
      <c r="O14" s="18">
        <v>1</v>
      </c>
      <c r="P14" s="19">
        <f>R7*O14</f>
        <v>15.688618859347491</v>
      </c>
      <c r="Q14" s="17">
        <v>5</v>
      </c>
      <c r="R14" s="18">
        <v>0</v>
      </c>
      <c r="S14" s="19">
        <f>R14*R7</f>
        <v>0</v>
      </c>
    </row>
    <row r="15" spans="1:19" ht="15.75">
      <c r="A15" s="11"/>
      <c r="B15" s="12"/>
      <c r="C15" s="12"/>
      <c r="D15" s="12"/>
      <c r="E15" s="12"/>
      <c r="F15" s="12"/>
      <c r="G15" s="12"/>
      <c r="H15" s="12"/>
      <c r="I15" s="6"/>
      <c r="J15" s="6"/>
      <c r="K15" s="6"/>
      <c r="N15" s="17">
        <v>4</v>
      </c>
      <c r="O15" s="18">
        <v>0</v>
      </c>
      <c r="P15" s="19">
        <f>R7*O15</f>
        <v>0</v>
      </c>
      <c r="Q15" s="17">
        <v>1</v>
      </c>
      <c r="R15" s="18">
        <v>0</v>
      </c>
      <c r="S15" s="19">
        <f>R7*R15</f>
        <v>0</v>
      </c>
    </row>
    <row r="16" spans="1:19" ht="15.75">
      <c r="A16" s="11"/>
      <c r="B16" s="12"/>
      <c r="C16" s="12"/>
      <c r="D16" s="12"/>
      <c r="E16" s="12"/>
      <c r="F16" s="12"/>
      <c r="G16" s="12"/>
      <c r="H16" s="12"/>
      <c r="I16" s="6"/>
      <c r="J16" s="6"/>
      <c r="K16" s="6"/>
      <c r="N16" s="17">
        <v>5</v>
      </c>
      <c r="O16" s="18">
        <v>0</v>
      </c>
      <c r="P16" s="19">
        <f>R7*O16</f>
        <v>0</v>
      </c>
      <c r="Q16" s="17"/>
      <c r="R16" s="18">
        <v>0</v>
      </c>
      <c r="S16" s="19">
        <f>R7*R16</f>
        <v>0</v>
      </c>
    </row>
    <row r="17" spans="1:19" ht="15.75">
      <c r="A17" s="11"/>
      <c r="B17" s="12"/>
      <c r="C17" s="12"/>
      <c r="D17" s="12"/>
      <c r="E17" s="12"/>
      <c r="F17" s="12"/>
      <c r="G17" s="12"/>
      <c r="H17" s="12"/>
      <c r="I17" s="6"/>
      <c r="J17" s="6"/>
      <c r="K17" s="6"/>
      <c r="N17" s="17">
        <v>6</v>
      </c>
      <c r="O17" s="18">
        <v>0</v>
      </c>
      <c r="P17" s="19">
        <f>R7*O17</f>
        <v>0</v>
      </c>
      <c r="Q17" s="17"/>
      <c r="R17" s="18">
        <v>0</v>
      </c>
      <c r="S17" s="19">
        <f>R7*R17</f>
        <v>0</v>
      </c>
    </row>
    <row r="18" spans="1:19" ht="15.75">
      <c r="A18" s="11"/>
      <c r="B18" s="12"/>
      <c r="C18" s="12"/>
      <c r="D18" s="12"/>
      <c r="E18" s="12"/>
      <c r="F18" s="12"/>
      <c r="G18" s="12"/>
      <c r="H18" s="12"/>
      <c r="I18" s="6"/>
      <c r="J18" s="6"/>
      <c r="K18" s="6"/>
      <c r="N18" s="17">
        <v>7</v>
      </c>
      <c r="O18" s="18">
        <v>0</v>
      </c>
      <c r="P18" s="19">
        <f>R7*O18</f>
        <v>0</v>
      </c>
      <c r="Q18" s="17"/>
      <c r="R18" s="18">
        <v>0</v>
      </c>
      <c r="S18" s="19">
        <f>R7*R18</f>
        <v>0</v>
      </c>
    </row>
    <row r="19" spans="1:19" ht="15.75">
      <c r="A19" s="11"/>
      <c r="B19" s="12"/>
      <c r="C19" s="12"/>
      <c r="D19" s="12"/>
      <c r="E19" s="12"/>
      <c r="F19" s="12"/>
      <c r="G19" s="12"/>
      <c r="H19" s="12"/>
      <c r="I19" s="6"/>
      <c r="J19" s="6"/>
      <c r="K19" s="6"/>
      <c r="N19" s="17">
        <v>8</v>
      </c>
      <c r="O19" s="18">
        <v>30</v>
      </c>
      <c r="P19" s="19">
        <f>R7*O19</f>
        <v>470.65856578042474</v>
      </c>
      <c r="Q19" s="17"/>
      <c r="R19" s="18">
        <v>0</v>
      </c>
      <c r="S19" s="19">
        <f>R7*R19</f>
        <v>0</v>
      </c>
    </row>
    <row r="20" spans="1:19" ht="15.75">
      <c r="A20" s="11"/>
      <c r="B20" s="12"/>
      <c r="C20" s="12"/>
      <c r="D20" s="12"/>
      <c r="E20" s="12"/>
      <c r="F20" s="12"/>
      <c r="G20" s="12"/>
      <c r="H20" s="12"/>
      <c r="I20" s="6"/>
      <c r="J20" s="6"/>
      <c r="K20" s="6"/>
      <c r="N20" s="17">
        <v>9</v>
      </c>
      <c r="O20" s="18">
        <v>50</v>
      </c>
      <c r="P20" s="19">
        <f>R7*O20</f>
        <v>784.43094296737456</v>
      </c>
      <c r="Q20" s="17"/>
      <c r="R20" s="18">
        <v>0</v>
      </c>
      <c r="S20" s="19">
        <f>R7*R20</f>
        <v>0</v>
      </c>
    </row>
    <row r="21" spans="1:19" ht="15.75" customHeight="1">
      <c r="A21" s="11"/>
      <c r="B21" s="12"/>
      <c r="C21" s="12"/>
      <c r="D21" s="12"/>
      <c r="E21" s="12"/>
      <c r="F21" s="12"/>
      <c r="G21" s="12"/>
      <c r="H21" s="12"/>
      <c r="I21" s="6"/>
      <c r="J21" s="9"/>
      <c r="K21" s="9"/>
      <c r="N21" s="20" t="s">
        <v>53</v>
      </c>
      <c r="O21" s="18">
        <v>50</v>
      </c>
      <c r="P21" s="19">
        <f>R7*O21</f>
        <v>784.43094296737456</v>
      </c>
      <c r="Q21" s="17"/>
      <c r="R21" s="18"/>
      <c r="S21" s="19">
        <f>R7*R21</f>
        <v>0</v>
      </c>
    </row>
    <row r="22" spans="1:19" ht="15.75" customHeight="1">
      <c r="A22" s="11"/>
      <c r="B22" s="12"/>
      <c r="C22" s="12"/>
      <c r="D22" s="12"/>
      <c r="E22" s="12"/>
      <c r="F22" s="12"/>
      <c r="G22" s="12"/>
      <c r="H22" s="12"/>
      <c r="I22" s="6"/>
      <c r="J22" s="9"/>
      <c r="K22" s="9"/>
      <c r="N22" s="13" t="s">
        <v>59</v>
      </c>
      <c r="O22" s="21">
        <f>P8-O12-O13-O14-O15-O16-O17-O18-O19-O20-O21</f>
        <v>-65.579760540548037</v>
      </c>
      <c r="P22" s="21">
        <f>Q8-P12-P13-P14-P15-P16-P17-P18-P19-P20-P21</f>
        <v>-1028.8558680079343</v>
      </c>
      <c r="Q22" s="13" t="s">
        <v>59</v>
      </c>
      <c r="R22" s="21">
        <f>P8-R12-R13-R14-R15-R16-R17-R18-R19-R20-R21</f>
        <v>12.420239459451963</v>
      </c>
      <c r="S22" s="21">
        <f>Q8-S12-S13-S14-S15-S16-S17-S18-S19-S20-S21</f>
        <v>194.85640302117002</v>
      </c>
    </row>
    <row r="23" spans="1:19" ht="15.75" customHeight="1">
      <c r="A23" s="11"/>
      <c r="B23" s="12"/>
      <c r="C23" s="12"/>
      <c r="D23" s="12"/>
      <c r="E23" s="12"/>
      <c r="F23" s="12"/>
      <c r="G23" s="12"/>
      <c r="H23" s="12"/>
      <c r="I23" s="6"/>
      <c r="J23" s="9"/>
      <c r="K23" s="9"/>
      <c r="N23" s="13" t="s">
        <v>60</v>
      </c>
      <c r="O23" s="16">
        <f>O12+O13+O14+O15+O16+O17+O18+O19+O20+O21</f>
        <v>131</v>
      </c>
      <c r="P23" s="16">
        <f>P12+P13+P14+P15+P16+P17+P18+P19+P20+P21</f>
        <v>2055.2090705745213</v>
      </c>
      <c r="Q23" s="13" t="s">
        <v>60</v>
      </c>
      <c r="R23" s="16">
        <f>R12+R13+R14+R15+R16+R17+R18+R19+R20+R21</f>
        <v>53</v>
      </c>
      <c r="S23" s="16">
        <f>S12+S13+S14+S15+S16+S17+S18+S19+S20+S21</f>
        <v>831.49679954541693</v>
      </c>
    </row>
    <row r="24" spans="1:19" ht="15.75" customHeight="1">
      <c r="A24" s="11"/>
      <c r="B24" s="12"/>
      <c r="C24" s="12"/>
      <c r="D24" s="12"/>
      <c r="E24" s="12"/>
      <c r="F24" s="12"/>
      <c r="G24" s="12"/>
      <c r="H24" s="12"/>
      <c r="I24" s="6"/>
      <c r="J24" s="9"/>
      <c r="K24" s="9"/>
    </row>
    <row r="25" spans="1:19" ht="15.75" customHeight="1">
      <c r="A25" s="11"/>
      <c r="B25" s="12"/>
      <c r="C25" s="12"/>
      <c r="D25" s="12"/>
      <c r="E25" s="12"/>
      <c r="F25" s="12"/>
      <c r="G25" s="12"/>
      <c r="H25" s="12"/>
      <c r="I25" s="6"/>
      <c r="J25" s="9"/>
      <c r="K25" s="9"/>
    </row>
    <row r="26" spans="1:19" ht="15.75" customHeight="1">
      <c r="A26" s="11"/>
      <c r="B26" s="12"/>
      <c r="C26" s="12"/>
      <c r="D26" s="12"/>
      <c r="E26" s="12"/>
      <c r="F26" s="12"/>
      <c r="G26" s="12"/>
      <c r="H26" s="12"/>
      <c r="I26" s="6"/>
      <c r="J26" s="9"/>
      <c r="K26" s="9"/>
    </row>
    <row r="27" spans="1:19" ht="15.75" customHeight="1">
      <c r="A27" s="11"/>
      <c r="B27" s="12"/>
      <c r="C27" s="12"/>
      <c r="D27" s="12"/>
      <c r="E27" s="12"/>
      <c r="F27" s="12"/>
      <c r="G27" s="12"/>
      <c r="H27" s="12"/>
      <c r="I27" s="6"/>
      <c r="J27" s="9"/>
      <c r="K27" s="9"/>
    </row>
    <row r="28" spans="1:19" ht="15.75" customHeight="1">
      <c r="A28" s="11"/>
      <c r="B28" s="12"/>
      <c r="C28" s="12"/>
      <c r="D28" s="12"/>
      <c r="E28" s="12"/>
      <c r="F28" s="12"/>
      <c r="G28" s="12"/>
      <c r="H28" s="12"/>
      <c r="I28" s="6"/>
      <c r="J28" s="9"/>
      <c r="K28" s="9"/>
    </row>
    <row r="29" spans="1:19" ht="15.75" customHeight="1">
      <c r="A29" s="11"/>
      <c r="B29" s="12"/>
      <c r="C29" s="12"/>
      <c r="D29" s="12"/>
      <c r="E29" s="12"/>
      <c r="F29" s="12"/>
      <c r="G29" s="12"/>
      <c r="H29" s="12"/>
      <c r="I29" s="6"/>
      <c r="J29" s="9"/>
      <c r="K29" s="9"/>
    </row>
    <row r="30" spans="1:19" ht="15.75" customHeight="1">
      <c r="A30" s="11"/>
      <c r="B30" s="12"/>
      <c r="C30" s="12"/>
      <c r="D30" s="12"/>
      <c r="E30" s="12"/>
      <c r="F30" s="12"/>
      <c r="G30" s="12"/>
      <c r="H30" s="12"/>
      <c r="I30" s="6"/>
      <c r="J30" s="9"/>
      <c r="K30" s="9"/>
    </row>
    <row r="31" spans="1:19" ht="15.75" customHeight="1">
      <c r="A31" s="11"/>
      <c r="B31" s="12"/>
      <c r="C31" s="12"/>
      <c r="D31" s="12"/>
      <c r="E31" s="12"/>
      <c r="F31" s="12"/>
      <c r="G31" s="12"/>
      <c r="H31" s="12"/>
      <c r="I31" s="6"/>
      <c r="J31" s="9"/>
      <c r="K31" s="9"/>
    </row>
    <row r="32" spans="1:19" ht="15.75" customHeight="1">
      <c r="A32" s="11"/>
      <c r="B32" s="12"/>
      <c r="C32" s="12"/>
      <c r="D32" s="12"/>
      <c r="E32" s="12"/>
      <c r="F32" s="12"/>
      <c r="G32" s="12"/>
      <c r="H32" s="12"/>
      <c r="I32" s="6"/>
      <c r="J32" s="9"/>
      <c r="K32" s="9"/>
    </row>
    <row r="33" spans="1:11" ht="15.75" customHeight="1">
      <c r="A33" s="11"/>
      <c r="B33" s="12"/>
      <c r="C33" s="12"/>
      <c r="D33" s="12"/>
      <c r="E33" s="12"/>
      <c r="F33" s="12"/>
      <c r="G33" s="12"/>
      <c r="H33" s="12"/>
      <c r="I33" s="6"/>
      <c r="J33" s="9"/>
      <c r="K33" s="9"/>
    </row>
    <row r="34" spans="1:11" ht="15.75" customHeight="1">
      <c r="A34" s="11"/>
      <c r="B34" s="12"/>
      <c r="C34" s="12"/>
      <c r="D34" s="12"/>
      <c r="E34" s="12"/>
      <c r="F34" s="12"/>
      <c r="G34" s="12"/>
      <c r="H34" s="12"/>
      <c r="I34" s="6"/>
      <c r="J34" s="9"/>
      <c r="K34" s="9"/>
    </row>
    <row r="35" spans="1:11" ht="15.75" customHeight="1">
      <c r="A35" s="11"/>
      <c r="B35" s="12"/>
      <c r="C35" s="12"/>
      <c r="D35" s="12"/>
      <c r="E35" s="12"/>
      <c r="F35" s="12"/>
      <c r="G35" s="12"/>
      <c r="H35" s="12"/>
      <c r="I35" s="6"/>
      <c r="J35" s="9"/>
      <c r="K35" s="9"/>
    </row>
    <row r="36" spans="1:11" ht="15.75" customHeight="1">
      <c r="A36" s="11"/>
      <c r="B36" s="12"/>
      <c r="C36" s="12"/>
      <c r="D36" s="12"/>
      <c r="E36" s="12"/>
      <c r="F36" s="12"/>
      <c r="G36" s="12"/>
      <c r="H36" s="12"/>
      <c r="I36" s="6"/>
      <c r="J36" s="9"/>
      <c r="K36" s="9"/>
    </row>
    <row r="37" spans="1:11" ht="15.75" customHeight="1">
      <c r="A37" s="11"/>
      <c r="B37" s="12"/>
      <c r="C37" s="12"/>
      <c r="D37" s="12"/>
      <c r="E37" s="12"/>
      <c r="F37" s="12"/>
      <c r="G37" s="12"/>
      <c r="H37" s="12"/>
      <c r="I37" s="6"/>
      <c r="J37" s="9"/>
      <c r="K37" s="9"/>
    </row>
    <row r="38" spans="1:11" ht="15.75" customHeight="1">
      <c r="A38" s="11"/>
      <c r="B38" s="12"/>
      <c r="C38" s="12"/>
      <c r="D38" s="12"/>
      <c r="E38" s="12"/>
      <c r="F38" s="12"/>
      <c r="G38" s="12"/>
      <c r="H38" s="12"/>
      <c r="I38" s="6"/>
      <c r="J38" s="9"/>
      <c r="K38" s="9"/>
    </row>
    <row r="39" spans="1:11" ht="15.75" customHeight="1">
      <c r="A39" s="11"/>
      <c r="B39" s="12"/>
      <c r="C39" s="12"/>
      <c r="D39" s="12"/>
      <c r="E39" s="12"/>
      <c r="F39" s="12"/>
      <c r="G39" s="12"/>
      <c r="H39" s="12"/>
      <c r="I39" s="6"/>
      <c r="J39" s="9"/>
      <c r="K39" s="9"/>
    </row>
    <row r="40" spans="1:11" ht="15.75" customHeight="1">
      <c r="A40" s="11"/>
      <c r="B40" s="12"/>
      <c r="C40" s="12"/>
      <c r="D40" s="12"/>
      <c r="E40" s="12"/>
      <c r="F40" s="12"/>
      <c r="G40" s="12"/>
      <c r="H40" s="12"/>
      <c r="I40" s="6"/>
      <c r="J40" s="9"/>
      <c r="K40" s="9"/>
    </row>
    <row r="41" spans="1:11" ht="15.75" customHeight="1">
      <c r="A41" s="11"/>
      <c r="B41" s="12"/>
      <c r="C41" s="12"/>
      <c r="D41" s="12"/>
      <c r="E41" s="12"/>
      <c r="F41" s="12"/>
      <c r="G41" s="12"/>
      <c r="H41" s="12"/>
      <c r="I41" s="6"/>
      <c r="J41" s="9"/>
      <c r="K41" s="9"/>
    </row>
    <row r="42" spans="1:11" ht="15.75" customHeight="1">
      <c r="A42" s="11"/>
      <c r="B42" s="12"/>
      <c r="C42" s="12"/>
      <c r="D42" s="12"/>
      <c r="E42" s="12"/>
      <c r="F42" s="12"/>
      <c r="G42" s="12"/>
      <c r="H42" s="12"/>
      <c r="I42" s="6"/>
      <c r="J42" s="9"/>
      <c r="K42" s="9"/>
    </row>
    <row r="43" spans="1:11" ht="15.75" customHeight="1">
      <c r="A43" s="11"/>
      <c r="B43" s="12"/>
      <c r="C43" s="12"/>
      <c r="D43" s="12"/>
      <c r="E43" s="12"/>
      <c r="F43" s="12"/>
      <c r="G43" s="12"/>
      <c r="H43" s="12"/>
      <c r="I43" s="6"/>
      <c r="J43" s="9"/>
      <c r="K43" s="9"/>
    </row>
    <row r="44" spans="1:11" ht="15.75" customHeight="1">
      <c r="A44" s="11"/>
      <c r="B44" s="12"/>
      <c r="C44" s="12"/>
      <c r="D44" s="12"/>
      <c r="E44" s="12"/>
      <c r="F44" s="12"/>
      <c r="G44" s="12"/>
      <c r="H44" s="12"/>
      <c r="I44" s="6"/>
      <c r="J44" s="9"/>
      <c r="K44" s="9"/>
    </row>
    <row r="45" spans="1:11" ht="15.75" customHeight="1">
      <c r="A45" s="11"/>
      <c r="B45" s="12"/>
      <c r="C45" s="12"/>
      <c r="D45" s="12"/>
      <c r="E45" s="12"/>
      <c r="F45" s="12"/>
      <c r="G45" s="12"/>
      <c r="H45" s="12"/>
      <c r="I45" s="9"/>
      <c r="J45" s="9"/>
      <c r="K45" s="9"/>
    </row>
    <row r="46" spans="1:11" ht="15.75" customHeight="1">
      <c r="A46" s="11"/>
      <c r="B46" s="12"/>
      <c r="C46" s="12"/>
      <c r="D46" s="12"/>
      <c r="E46" s="12"/>
      <c r="F46" s="12"/>
      <c r="G46" s="12"/>
      <c r="H46" s="12"/>
      <c r="I46" s="9"/>
      <c r="J46" s="9"/>
      <c r="K46" s="9"/>
    </row>
    <row r="47" spans="1:11" ht="15.75" customHeight="1">
      <c r="A47" s="11"/>
      <c r="B47" s="12"/>
      <c r="C47" s="12"/>
      <c r="D47" s="12"/>
      <c r="E47" s="12"/>
      <c r="F47" s="12"/>
      <c r="G47" s="12"/>
      <c r="H47" s="12"/>
      <c r="I47" s="9"/>
      <c r="J47" s="9"/>
      <c r="K47" s="9"/>
    </row>
    <row r="48" spans="1:11" ht="15.75" customHeight="1">
      <c r="A48" s="11"/>
      <c r="B48" s="12"/>
      <c r="C48" s="12"/>
      <c r="D48" s="12"/>
      <c r="E48" s="12"/>
      <c r="F48" s="12"/>
      <c r="G48" s="12"/>
      <c r="H48" s="12"/>
      <c r="I48" s="9"/>
      <c r="J48" s="9"/>
      <c r="K48" s="9"/>
    </row>
    <row r="49" spans="1:19" ht="15.75" customHeight="1">
      <c r="A49" s="11"/>
      <c r="B49" s="12"/>
      <c r="C49" s="12"/>
      <c r="D49" s="12"/>
      <c r="E49" s="12"/>
      <c r="F49" s="12"/>
      <c r="G49" s="12"/>
      <c r="H49" s="12"/>
      <c r="I49" s="9"/>
      <c r="J49" s="9"/>
      <c r="K49" s="9"/>
    </row>
    <row r="50" spans="1:19" ht="15.75" customHeight="1">
      <c r="A50" s="8"/>
      <c r="B50" s="7"/>
      <c r="C50" s="7"/>
      <c r="D50" s="7"/>
      <c r="E50" s="7"/>
      <c r="F50" s="7"/>
      <c r="G50" s="7"/>
      <c r="H50" s="7"/>
      <c r="I50" s="9"/>
      <c r="J50" s="9"/>
      <c r="K50" s="9"/>
    </row>
    <row r="51" spans="1:19" ht="15.75" customHeight="1">
      <c r="A51" s="8"/>
      <c r="B51" s="7"/>
      <c r="C51" s="7"/>
      <c r="D51" s="7"/>
      <c r="E51" s="7"/>
      <c r="F51" s="7"/>
      <c r="G51" s="7"/>
      <c r="H51" s="7"/>
      <c r="I51" s="9"/>
      <c r="J51" s="9"/>
      <c r="K51" s="9"/>
    </row>
    <row r="52" spans="1:19" ht="15.75" customHeight="1">
      <c r="A52" s="8"/>
      <c r="B52" s="7"/>
      <c r="C52" s="7"/>
      <c r="D52" s="7"/>
      <c r="E52" s="7"/>
      <c r="F52" s="7"/>
      <c r="G52" s="7"/>
      <c r="H52" s="7"/>
      <c r="I52" s="9"/>
      <c r="J52" s="9"/>
      <c r="K52" s="9"/>
    </row>
    <row r="53" spans="1:19" ht="15.75" customHeight="1">
      <c r="A53" s="8"/>
      <c r="B53" s="7"/>
      <c r="C53" s="7"/>
      <c r="D53" s="7"/>
      <c r="E53" s="7"/>
      <c r="F53" s="7"/>
      <c r="G53" s="7"/>
      <c r="H53" s="7"/>
      <c r="I53" s="9"/>
      <c r="J53" s="9"/>
      <c r="K53" s="9"/>
    </row>
    <row r="54" spans="1:19" ht="15.75" customHeight="1">
      <c r="A54" s="8"/>
      <c r="B54" s="7"/>
      <c r="C54" s="7"/>
      <c r="D54" s="7"/>
      <c r="E54" s="7"/>
      <c r="F54" s="7"/>
      <c r="G54" s="7"/>
      <c r="H54" s="7"/>
      <c r="I54" s="9"/>
      <c r="J54" s="9"/>
      <c r="K54" s="9"/>
    </row>
    <row r="55" spans="1:19" ht="15.75" customHeight="1">
      <c r="A55" s="7"/>
      <c r="B55" s="7"/>
      <c r="C55" s="7"/>
      <c r="D55" s="7"/>
      <c r="E55" s="7"/>
      <c r="F55" s="7"/>
      <c r="G55" s="7"/>
      <c r="H55" s="7"/>
      <c r="I55" s="9"/>
      <c r="J55" s="9"/>
      <c r="K55" s="9"/>
      <c r="N55" s="7"/>
      <c r="O55" s="7"/>
      <c r="P55" s="7"/>
      <c r="Q55" s="7"/>
      <c r="R55" s="7"/>
      <c r="S55" s="7"/>
    </row>
    <row r="56" spans="1:19" ht="15.75" customHeight="1">
      <c r="A56" s="7"/>
      <c r="B56" s="7"/>
      <c r="C56" s="7"/>
      <c r="D56" s="7"/>
      <c r="E56" s="7"/>
      <c r="F56" s="7"/>
      <c r="G56" s="7"/>
      <c r="H56" s="7"/>
      <c r="I56" s="6"/>
      <c r="J56" s="9"/>
      <c r="K56" s="9"/>
      <c r="N56" s="22"/>
      <c r="O56" s="22"/>
      <c r="P56" s="22"/>
      <c r="Q56" s="22"/>
      <c r="R56" s="22"/>
      <c r="S56" s="22"/>
    </row>
    <row r="57" spans="1:19" ht="15.75" customHeight="1">
      <c r="I57" s="10"/>
    </row>
    <row r="58" spans="1:19" ht="15.75" customHeight="1"/>
    <row r="59" spans="1:19" ht="15.75" customHeight="1"/>
    <row r="60" spans="1:19" ht="15.75" customHeight="1"/>
    <row r="61" spans="1:19" ht="15.75" customHeight="1"/>
    <row r="62" spans="1:19" ht="15.75" customHeight="1"/>
    <row r="63" spans="1:19" ht="15.75" customHeight="1"/>
    <row r="64" spans="1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G3:H3"/>
    <mergeCell ref="C3:D3"/>
    <mergeCell ref="E3:F3"/>
    <mergeCell ref="A5:A6"/>
    <mergeCell ref="B5:B6"/>
    <mergeCell ref="C5:C6"/>
    <mergeCell ref="D5:D6"/>
    <mergeCell ref="E5:E6"/>
    <mergeCell ref="I5:I6"/>
    <mergeCell ref="J5:J6"/>
    <mergeCell ref="K5:K6"/>
    <mergeCell ref="C4:D4"/>
    <mergeCell ref="E4:F4"/>
    <mergeCell ref="G4:H4"/>
    <mergeCell ref="F5:G5"/>
    <mergeCell ref="H5:H6"/>
    <mergeCell ref="N9:S9"/>
    <mergeCell ref="N10:P10"/>
    <mergeCell ref="Q10:S10"/>
    <mergeCell ref="Q5:Q6"/>
    <mergeCell ref="R5:R6"/>
    <mergeCell ref="S5:S6"/>
    <mergeCell ref="R7:R8"/>
    <mergeCell ref="S7:S8"/>
    <mergeCell ref="N5:N6"/>
    <mergeCell ref="O5:O6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>
  <sheetPr codeName="Лист11">
    <outlinePr summaryBelow="0" summaryRight="0"/>
  </sheetPr>
  <dimension ref="A1:S57"/>
  <sheetViews>
    <sheetView workbookViewId="0">
      <selection activeCell="G4" sqref="G4:H4"/>
    </sheetView>
  </sheetViews>
  <sheetFormatPr defaultColWidth="14.42578125" defaultRowHeight="15" customHeight="1"/>
  <cols>
    <col min="1" max="1" width="10.140625" customWidth="1"/>
    <col min="2" max="8" width="8.7109375" customWidth="1"/>
    <col min="9" max="9" width="14" customWidth="1"/>
    <col min="10" max="10" width="15.5703125" customWidth="1"/>
    <col min="11" max="11" width="12.85546875" customWidth="1"/>
    <col min="14" max="14" width="12" customWidth="1"/>
    <col min="15" max="15" width="11.5703125" customWidth="1"/>
    <col min="16" max="16" width="13.5703125" customWidth="1"/>
    <col min="17" max="17" width="12" customWidth="1"/>
    <col min="18" max="18" width="10.42578125" customWidth="1"/>
    <col min="19" max="19" width="12.7109375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150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28</v>
      </c>
      <c r="B4" s="2" t="s">
        <v>80</v>
      </c>
      <c r="C4" s="500">
        <f>AVERAGEA(I7:I56)</f>
        <v>0.55772616339255621</v>
      </c>
      <c r="D4" s="501"/>
      <c r="E4" s="500">
        <f>AVERAGEA(J7:J56)</f>
        <v>15.97675698484522</v>
      </c>
      <c r="F4" s="501"/>
      <c r="G4" s="500">
        <f>AVERAGEA(K7:K56)</f>
        <v>1.5320540228224757</v>
      </c>
      <c r="H4" s="501"/>
      <c r="I4" s="3">
        <f>C4*K2</f>
        <v>83.65892450888343</v>
      </c>
      <c r="J4" s="3">
        <f>I4*E4</f>
        <v>1336.5983064919424</v>
      </c>
      <c r="K4" s="3">
        <f>K2*G4</f>
        <v>229.80810342337136</v>
      </c>
    </row>
    <row r="5" spans="1:19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2"/>
      <c r="B6" s="492"/>
      <c r="C6" s="492"/>
      <c r="D6" s="492"/>
      <c r="E6" s="492"/>
      <c r="F6" s="4" t="s">
        <v>20</v>
      </c>
      <c r="G6" s="5" t="s">
        <v>21</v>
      </c>
      <c r="H6" s="492"/>
      <c r="I6" s="492"/>
      <c r="J6" s="492"/>
      <c r="K6" s="492"/>
      <c r="N6" s="492"/>
      <c r="O6" s="492"/>
      <c r="P6" s="492"/>
      <c r="Q6" s="492"/>
      <c r="R6" s="492"/>
      <c r="S6" s="492"/>
    </row>
    <row r="7" spans="1:19">
      <c r="A7" s="11">
        <v>45083</v>
      </c>
      <c r="B7" s="12" t="s">
        <v>37</v>
      </c>
      <c r="C7" s="12" t="s">
        <v>23</v>
      </c>
      <c r="D7" s="12">
        <v>120</v>
      </c>
      <c r="E7" s="12">
        <v>8</v>
      </c>
      <c r="F7" s="12">
        <v>60</v>
      </c>
      <c r="G7" s="12">
        <v>970</v>
      </c>
      <c r="H7" s="12">
        <v>0</v>
      </c>
      <c r="I7" s="6">
        <f>F7/(D7+E7)</f>
        <v>0.46875</v>
      </c>
      <c r="J7" s="6">
        <f>G7/F7</f>
        <v>16.166666666666668</v>
      </c>
      <c r="K7" s="6">
        <f>H7/(D7+E7)</f>
        <v>0</v>
      </c>
      <c r="N7" s="13" t="s">
        <v>49</v>
      </c>
      <c r="O7" s="14">
        <f>K2</f>
        <v>150</v>
      </c>
      <c r="P7" s="15">
        <f>I4</f>
        <v>83.65892450888343</v>
      </c>
      <c r="Q7" s="15">
        <f>J4</f>
        <v>1336.5983064919424</v>
      </c>
      <c r="R7" s="493">
        <f>Q7/P7</f>
        <v>15.97675698484522</v>
      </c>
      <c r="S7" s="493">
        <f>P7/O7</f>
        <v>0.55772616339255621</v>
      </c>
    </row>
    <row r="8" spans="1:19">
      <c r="A8" s="11">
        <v>45091</v>
      </c>
      <c r="B8" s="12" t="s">
        <v>37</v>
      </c>
      <c r="C8" s="12" t="s">
        <v>23</v>
      </c>
      <c r="D8" s="12">
        <v>157</v>
      </c>
      <c r="E8" s="12">
        <v>15</v>
      </c>
      <c r="F8" s="12">
        <v>91</v>
      </c>
      <c r="G8" s="12">
        <v>1369</v>
      </c>
      <c r="H8" s="12">
        <v>232</v>
      </c>
      <c r="I8" s="6">
        <f>F8/(D8+E8)</f>
        <v>0.52906976744186052</v>
      </c>
      <c r="J8" s="6">
        <f>G8/F8</f>
        <v>15.043956043956044</v>
      </c>
      <c r="K8" s="6">
        <f>H8/(D8+E8)</f>
        <v>1.3488372093023255</v>
      </c>
      <c r="N8" s="13" t="s">
        <v>50</v>
      </c>
      <c r="O8" s="14">
        <f>O7</f>
        <v>150</v>
      </c>
      <c r="P8" s="16">
        <f>O8*S7</f>
        <v>83.65892450888343</v>
      </c>
      <c r="Q8" s="16">
        <f>P8*R7</f>
        <v>1336.5983064919424</v>
      </c>
      <c r="R8" s="492"/>
      <c r="S8" s="492"/>
    </row>
    <row r="9" spans="1:19">
      <c r="A9" s="11">
        <v>45098</v>
      </c>
      <c r="B9" s="12" t="s">
        <v>37</v>
      </c>
      <c r="C9" s="12" t="s">
        <v>23</v>
      </c>
      <c r="D9" s="12">
        <v>150</v>
      </c>
      <c r="E9" s="12">
        <v>25</v>
      </c>
      <c r="F9" s="12">
        <v>108</v>
      </c>
      <c r="G9" s="12">
        <v>1713</v>
      </c>
      <c r="H9" s="12">
        <v>144</v>
      </c>
      <c r="I9" s="6">
        <f>F9/(D9+E9)</f>
        <v>0.6171428571428571</v>
      </c>
      <c r="J9" s="6">
        <f>G9/F9</f>
        <v>15.861111111111111</v>
      </c>
      <c r="K9" s="6">
        <f>H9/(D9+E9)</f>
        <v>0.82285714285714284</v>
      </c>
      <c r="N9" s="494" t="s">
        <v>51</v>
      </c>
      <c r="O9" s="495"/>
      <c r="P9" s="495"/>
      <c r="Q9" s="495"/>
      <c r="R9" s="495"/>
      <c r="S9" s="496"/>
    </row>
    <row r="10" spans="1:19">
      <c r="A10" s="11">
        <v>45104</v>
      </c>
      <c r="B10" s="12" t="s">
        <v>37</v>
      </c>
      <c r="C10" s="12" t="s">
        <v>23</v>
      </c>
      <c r="D10" s="12">
        <v>122</v>
      </c>
      <c r="E10" s="12">
        <v>16</v>
      </c>
      <c r="F10" s="12">
        <v>85</v>
      </c>
      <c r="G10" s="12">
        <v>1431</v>
      </c>
      <c r="H10" s="12">
        <v>546</v>
      </c>
      <c r="I10" s="6">
        <f>F10/(D10+E10)</f>
        <v>0.61594202898550721</v>
      </c>
      <c r="J10" s="6">
        <f>G10/F10</f>
        <v>16.835294117647059</v>
      </c>
      <c r="K10" s="6">
        <f>H10/(D10+E10)</f>
        <v>3.9565217391304346</v>
      </c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11"/>
      <c r="B11" s="12"/>
      <c r="C11" s="12"/>
      <c r="D11" s="12"/>
      <c r="E11" s="12"/>
      <c r="F11" s="12"/>
      <c r="G11" s="12"/>
      <c r="H11" s="12"/>
      <c r="I11" s="6"/>
      <c r="J11" s="6"/>
      <c r="K11" s="6"/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>
      <c r="A12" s="11"/>
      <c r="B12" s="12"/>
      <c r="C12" s="12"/>
      <c r="D12" s="12"/>
      <c r="E12" s="12"/>
      <c r="F12" s="12"/>
      <c r="G12" s="12"/>
      <c r="H12" s="12"/>
      <c r="I12" s="6"/>
      <c r="J12" s="6"/>
      <c r="K12" s="6"/>
      <c r="N12" s="17">
        <v>1</v>
      </c>
      <c r="O12" s="18">
        <v>0</v>
      </c>
      <c r="P12" s="19">
        <f>O12*R7</f>
        <v>0</v>
      </c>
      <c r="Q12" s="17">
        <v>3</v>
      </c>
      <c r="R12" s="18">
        <v>35</v>
      </c>
      <c r="S12" s="19">
        <f>R12*R7</f>
        <v>559.18649446958273</v>
      </c>
    </row>
    <row r="13" spans="1:19">
      <c r="A13" s="11"/>
      <c r="B13" s="12"/>
      <c r="C13" s="12"/>
      <c r="D13" s="12"/>
      <c r="E13" s="12"/>
      <c r="F13" s="12"/>
      <c r="G13" s="12"/>
      <c r="H13" s="12"/>
      <c r="I13" s="6"/>
      <c r="J13" s="6"/>
      <c r="K13" s="6"/>
      <c r="N13" s="17">
        <v>2</v>
      </c>
      <c r="O13" s="18">
        <v>0</v>
      </c>
      <c r="P13" s="19">
        <f>O13*R7</f>
        <v>0</v>
      </c>
      <c r="Q13" s="17">
        <v>4</v>
      </c>
      <c r="R13" s="18">
        <v>18</v>
      </c>
      <c r="S13" s="19">
        <f>R7*R13</f>
        <v>287.58162572721398</v>
      </c>
    </row>
    <row r="14" spans="1:19">
      <c r="A14" s="11"/>
      <c r="B14" s="12"/>
      <c r="C14" s="12"/>
      <c r="D14" s="12"/>
      <c r="E14" s="12"/>
      <c r="F14" s="12"/>
      <c r="G14" s="12"/>
      <c r="H14" s="12"/>
      <c r="I14" s="6"/>
      <c r="J14" s="6"/>
      <c r="K14" s="6"/>
      <c r="N14" s="17">
        <v>3</v>
      </c>
      <c r="O14" s="18">
        <v>1</v>
      </c>
      <c r="P14" s="19">
        <f>R7*O14</f>
        <v>15.97675698484522</v>
      </c>
      <c r="Q14" s="17">
        <v>5</v>
      </c>
      <c r="R14" s="18">
        <v>0</v>
      </c>
      <c r="S14" s="19">
        <f>R14*R7</f>
        <v>0</v>
      </c>
    </row>
    <row r="15" spans="1:19">
      <c r="A15" s="11"/>
      <c r="B15" s="12"/>
      <c r="C15" s="12"/>
      <c r="D15" s="12"/>
      <c r="E15" s="12"/>
      <c r="F15" s="12"/>
      <c r="G15" s="12"/>
      <c r="H15" s="12"/>
      <c r="I15" s="6"/>
      <c r="J15" s="6"/>
      <c r="K15" s="6"/>
      <c r="N15" s="17">
        <v>4</v>
      </c>
      <c r="O15" s="18">
        <v>0</v>
      </c>
      <c r="P15" s="19">
        <f>R7*O15</f>
        <v>0</v>
      </c>
      <c r="Q15" s="17">
        <v>1</v>
      </c>
      <c r="R15" s="18">
        <v>0</v>
      </c>
      <c r="S15" s="19">
        <f>R7*R15</f>
        <v>0</v>
      </c>
    </row>
    <row r="16" spans="1:19">
      <c r="A16" s="11"/>
      <c r="B16" s="12"/>
      <c r="C16" s="12"/>
      <c r="D16" s="12"/>
      <c r="E16" s="12"/>
      <c r="F16" s="12"/>
      <c r="G16" s="12"/>
      <c r="H16" s="12"/>
      <c r="I16" s="6"/>
      <c r="J16" s="6"/>
      <c r="K16" s="6"/>
      <c r="N16" s="17">
        <v>5</v>
      </c>
      <c r="O16" s="18">
        <v>0</v>
      </c>
      <c r="P16" s="19">
        <f>R7*O16</f>
        <v>0</v>
      </c>
      <c r="Q16" s="17"/>
      <c r="R16" s="18">
        <v>0</v>
      </c>
      <c r="S16" s="19">
        <f>R7*R16</f>
        <v>0</v>
      </c>
    </row>
    <row r="17" spans="1:19">
      <c r="A17" s="11"/>
      <c r="B17" s="12"/>
      <c r="C17" s="12"/>
      <c r="D17" s="12"/>
      <c r="E17" s="12"/>
      <c r="F17" s="12"/>
      <c r="G17" s="12"/>
      <c r="H17" s="12"/>
      <c r="I17" s="6"/>
      <c r="J17" s="6"/>
      <c r="K17" s="6"/>
      <c r="N17" s="17">
        <v>6</v>
      </c>
      <c r="O17" s="18">
        <v>0</v>
      </c>
      <c r="P17" s="19">
        <f>R7*O17</f>
        <v>0</v>
      </c>
      <c r="Q17" s="17"/>
      <c r="R17" s="18">
        <v>0</v>
      </c>
      <c r="S17" s="19">
        <f>R7*R17</f>
        <v>0</v>
      </c>
    </row>
    <row r="18" spans="1:19">
      <c r="A18" s="11"/>
      <c r="B18" s="12"/>
      <c r="C18" s="12"/>
      <c r="D18" s="12"/>
      <c r="E18" s="12"/>
      <c r="F18" s="12"/>
      <c r="G18" s="12"/>
      <c r="H18" s="12"/>
      <c r="I18" s="6"/>
      <c r="J18" s="6"/>
      <c r="K18" s="6"/>
      <c r="N18" s="17">
        <v>7</v>
      </c>
      <c r="O18" s="18">
        <v>0</v>
      </c>
      <c r="P18" s="19">
        <f>R7*O18</f>
        <v>0</v>
      </c>
      <c r="Q18" s="17"/>
      <c r="R18" s="18">
        <v>0</v>
      </c>
      <c r="S18" s="19">
        <f>R7*R18</f>
        <v>0</v>
      </c>
    </row>
    <row r="19" spans="1:19">
      <c r="A19" s="11"/>
      <c r="B19" s="12"/>
      <c r="C19" s="12"/>
      <c r="D19" s="12"/>
      <c r="E19" s="12"/>
      <c r="F19" s="12"/>
      <c r="G19" s="12"/>
      <c r="H19" s="12"/>
      <c r="I19" s="6"/>
      <c r="J19" s="6"/>
      <c r="K19" s="6"/>
      <c r="N19" s="17">
        <v>8</v>
      </c>
      <c r="O19" s="18">
        <v>30</v>
      </c>
      <c r="P19" s="19">
        <f>R7*O19</f>
        <v>479.30270954535661</v>
      </c>
      <c r="Q19" s="17"/>
      <c r="R19" s="18">
        <v>0</v>
      </c>
      <c r="S19" s="19">
        <f>R7*R19</f>
        <v>0</v>
      </c>
    </row>
    <row r="20" spans="1:19">
      <c r="A20" s="11"/>
      <c r="B20" s="12"/>
      <c r="C20" s="12"/>
      <c r="D20" s="12"/>
      <c r="E20" s="12"/>
      <c r="F20" s="12"/>
      <c r="G20" s="12"/>
      <c r="H20" s="12"/>
      <c r="I20" s="6"/>
      <c r="J20" s="9"/>
      <c r="K20" s="9"/>
      <c r="N20" s="17">
        <v>9</v>
      </c>
      <c r="O20" s="18">
        <v>50</v>
      </c>
      <c r="P20" s="19">
        <f>R7*O20</f>
        <v>798.83784924226097</v>
      </c>
      <c r="Q20" s="17"/>
      <c r="R20" s="18">
        <v>0</v>
      </c>
      <c r="S20" s="19">
        <f>R7*R20</f>
        <v>0</v>
      </c>
    </row>
    <row r="21" spans="1:19">
      <c r="A21" s="11"/>
      <c r="B21" s="12"/>
      <c r="C21" s="12"/>
      <c r="D21" s="12"/>
      <c r="E21" s="12"/>
      <c r="F21" s="12"/>
      <c r="G21" s="12"/>
      <c r="H21" s="12"/>
      <c r="I21" s="6"/>
      <c r="J21" s="9"/>
      <c r="K21" s="9"/>
      <c r="N21" s="20" t="s">
        <v>53</v>
      </c>
      <c r="O21" s="18">
        <v>50</v>
      </c>
      <c r="P21" s="19">
        <f>R7*O21</f>
        <v>798.83784924226097</v>
      </c>
      <c r="Q21" s="17"/>
      <c r="R21" s="18"/>
      <c r="S21" s="19">
        <f>R7*R21</f>
        <v>0</v>
      </c>
    </row>
    <row r="22" spans="1:19">
      <c r="A22" s="11"/>
      <c r="B22" s="12"/>
      <c r="C22" s="12"/>
      <c r="D22" s="12"/>
      <c r="E22" s="12"/>
      <c r="F22" s="12"/>
      <c r="G22" s="12"/>
      <c r="H22" s="12"/>
      <c r="I22" s="6"/>
      <c r="J22" s="9"/>
      <c r="K22" s="9"/>
      <c r="N22" s="13" t="s">
        <v>59</v>
      </c>
      <c r="O22" s="21">
        <f>P8-O12-O13-O14-O15-O16-O17-O18-O19-O20-O21</f>
        <v>-47.34107549111657</v>
      </c>
      <c r="P22" s="21">
        <f>Q8-P12-P13-P14-P15-P16-P17-P18-P19-P20-P21</f>
        <v>-756.35685852278141</v>
      </c>
      <c r="Q22" s="13" t="s">
        <v>59</v>
      </c>
      <c r="R22" s="21">
        <f>P8-R12-R13-R14-R15-R16-R17-R18-R19-R20-R21</f>
        <v>30.65892450888343</v>
      </c>
      <c r="S22" s="21">
        <f>Q8-S12-S13-S14-S15-S16-S17-S18-S19-S20-S21</f>
        <v>489.83018629514567</v>
      </c>
    </row>
    <row r="23" spans="1:19">
      <c r="A23" s="11"/>
      <c r="B23" s="12"/>
      <c r="C23" s="12"/>
      <c r="D23" s="12"/>
      <c r="E23" s="12"/>
      <c r="F23" s="12"/>
      <c r="G23" s="12"/>
      <c r="H23" s="12"/>
      <c r="I23" s="6"/>
      <c r="J23" s="9"/>
      <c r="K23" s="9"/>
      <c r="N23" s="13" t="s">
        <v>60</v>
      </c>
      <c r="O23" s="16">
        <f>O12+O13+O14+O15+O16+O17+O18+O19+O20+O21</f>
        <v>131</v>
      </c>
      <c r="P23" s="16">
        <f>P12+P13+P14+P15+P16+P17+P18+P19+P20+P21</f>
        <v>2092.9551650147241</v>
      </c>
      <c r="Q23" s="13" t="s">
        <v>60</v>
      </c>
      <c r="R23" s="16">
        <f>R12+R13+R14+R15+R16+R17+R18+R19+R20+R21</f>
        <v>53</v>
      </c>
      <c r="S23" s="16">
        <f>S12+S13+S14+S15+S16+S17+S18+S19+S20+S21</f>
        <v>846.76812019679664</v>
      </c>
    </row>
    <row r="24" spans="1:19">
      <c r="A24" s="11"/>
      <c r="B24" s="12"/>
      <c r="C24" s="12"/>
      <c r="D24" s="12"/>
      <c r="E24" s="12"/>
      <c r="F24" s="12"/>
      <c r="G24" s="12"/>
      <c r="H24" s="12"/>
      <c r="I24" s="6"/>
      <c r="J24" s="9"/>
      <c r="K24" s="9"/>
    </row>
    <row r="25" spans="1:19">
      <c r="A25" s="11"/>
      <c r="B25" s="12"/>
      <c r="C25" s="12"/>
      <c r="D25" s="12"/>
      <c r="E25" s="12"/>
      <c r="F25" s="12"/>
      <c r="G25" s="12"/>
      <c r="H25" s="12"/>
      <c r="I25" s="6"/>
      <c r="J25" s="9"/>
      <c r="K25" s="9"/>
    </row>
    <row r="26" spans="1:19">
      <c r="A26" s="11"/>
      <c r="B26" s="12"/>
      <c r="C26" s="12"/>
      <c r="D26" s="12"/>
      <c r="E26" s="12"/>
      <c r="F26" s="12"/>
      <c r="G26" s="12"/>
      <c r="H26" s="12"/>
      <c r="I26" s="6"/>
      <c r="J26" s="9"/>
      <c r="K26" s="9"/>
    </row>
    <row r="27" spans="1:19">
      <c r="A27" s="11"/>
      <c r="B27" s="12"/>
      <c r="C27" s="12"/>
      <c r="D27" s="12"/>
      <c r="E27" s="12"/>
      <c r="F27" s="12"/>
      <c r="G27" s="12"/>
      <c r="H27" s="12"/>
      <c r="I27" s="6"/>
      <c r="J27" s="9"/>
      <c r="K27" s="9"/>
    </row>
    <row r="28" spans="1:19">
      <c r="A28" s="11"/>
      <c r="B28" s="12"/>
      <c r="C28" s="12"/>
      <c r="D28" s="12"/>
      <c r="E28" s="12"/>
      <c r="F28" s="12"/>
      <c r="G28" s="12"/>
      <c r="H28" s="12"/>
      <c r="I28" s="6"/>
      <c r="J28" s="9"/>
      <c r="K28" s="9"/>
    </row>
    <row r="29" spans="1:19">
      <c r="A29" s="11"/>
      <c r="B29" s="12"/>
      <c r="C29" s="12"/>
      <c r="D29" s="12"/>
      <c r="E29" s="12"/>
      <c r="F29" s="12"/>
      <c r="G29" s="12"/>
      <c r="H29" s="12"/>
      <c r="I29" s="6"/>
      <c r="J29" s="9"/>
      <c r="K29" s="9"/>
    </row>
    <row r="30" spans="1:19">
      <c r="A30" s="11"/>
      <c r="B30" s="12"/>
      <c r="C30" s="12"/>
      <c r="D30" s="12"/>
      <c r="E30" s="12"/>
      <c r="F30" s="12"/>
      <c r="G30" s="12"/>
      <c r="H30" s="12"/>
      <c r="I30" s="6"/>
      <c r="J30" s="9"/>
      <c r="K30" s="9"/>
    </row>
    <row r="31" spans="1:19">
      <c r="A31" s="11"/>
      <c r="B31" s="12"/>
      <c r="C31" s="12"/>
      <c r="D31" s="12"/>
      <c r="E31" s="12"/>
      <c r="F31" s="12"/>
      <c r="G31" s="12"/>
      <c r="H31" s="12"/>
      <c r="I31" s="6"/>
      <c r="J31" s="9"/>
      <c r="K31" s="9"/>
    </row>
    <row r="32" spans="1:19">
      <c r="A32" s="11"/>
      <c r="B32" s="12"/>
      <c r="C32" s="12"/>
      <c r="D32" s="12"/>
      <c r="E32" s="12"/>
      <c r="F32" s="12"/>
      <c r="G32" s="12"/>
      <c r="H32" s="12"/>
      <c r="I32" s="6"/>
      <c r="J32" s="9"/>
      <c r="K32" s="9"/>
    </row>
    <row r="33" spans="1:11">
      <c r="A33" s="11"/>
      <c r="B33" s="12"/>
      <c r="C33" s="12"/>
      <c r="D33" s="12"/>
      <c r="E33" s="12"/>
      <c r="F33" s="12"/>
      <c r="G33" s="12"/>
      <c r="H33" s="12"/>
      <c r="I33" s="6"/>
      <c r="J33" s="9"/>
      <c r="K33" s="9"/>
    </row>
    <row r="34" spans="1:11">
      <c r="A34" s="11"/>
      <c r="B34" s="12"/>
      <c r="C34" s="12"/>
      <c r="D34" s="12"/>
      <c r="E34" s="12"/>
      <c r="F34" s="12"/>
      <c r="G34" s="12"/>
      <c r="H34" s="12"/>
      <c r="I34" s="6"/>
      <c r="J34" s="9"/>
      <c r="K34" s="9"/>
    </row>
    <row r="35" spans="1:11">
      <c r="A35" s="11"/>
      <c r="B35" s="12"/>
      <c r="C35" s="12"/>
      <c r="D35" s="12"/>
      <c r="E35" s="12"/>
      <c r="F35" s="12"/>
      <c r="G35" s="12"/>
      <c r="H35" s="12"/>
      <c r="I35" s="6"/>
      <c r="J35" s="9"/>
      <c r="K35" s="9"/>
    </row>
    <row r="36" spans="1:11">
      <c r="A36" s="11"/>
      <c r="B36" s="12"/>
      <c r="C36" s="12"/>
      <c r="D36" s="12"/>
      <c r="E36" s="12"/>
      <c r="F36" s="12"/>
      <c r="G36" s="12"/>
      <c r="H36" s="12"/>
      <c r="I36" s="6"/>
      <c r="J36" s="9"/>
      <c r="K36" s="9"/>
    </row>
    <row r="37" spans="1:11">
      <c r="A37" s="11"/>
      <c r="B37" s="12"/>
      <c r="C37" s="12"/>
      <c r="D37" s="12"/>
      <c r="E37" s="12"/>
      <c r="F37" s="12"/>
      <c r="G37" s="12"/>
      <c r="H37" s="12"/>
      <c r="I37" s="6"/>
      <c r="J37" s="9"/>
      <c r="K37" s="9"/>
    </row>
    <row r="38" spans="1:11">
      <c r="A38" s="8"/>
      <c r="B38" s="7"/>
      <c r="C38" s="7"/>
      <c r="D38" s="7"/>
      <c r="E38" s="7"/>
      <c r="F38" s="7"/>
      <c r="G38" s="7"/>
      <c r="H38" s="7"/>
      <c r="I38" s="6"/>
      <c r="J38" s="9"/>
      <c r="K38" s="9"/>
    </row>
    <row r="39" spans="1:11">
      <c r="A39" s="8"/>
      <c r="B39" s="7"/>
      <c r="C39" s="7"/>
      <c r="D39" s="7"/>
      <c r="E39" s="7"/>
      <c r="F39" s="7"/>
      <c r="G39" s="7"/>
      <c r="H39" s="7"/>
      <c r="I39" s="6"/>
      <c r="J39" s="9"/>
      <c r="K39" s="9"/>
    </row>
    <row r="40" spans="1:11">
      <c r="A40" s="8"/>
      <c r="B40" s="7"/>
      <c r="C40" s="7"/>
      <c r="D40" s="7"/>
      <c r="E40" s="7"/>
      <c r="F40" s="7"/>
      <c r="G40" s="7"/>
      <c r="H40" s="7"/>
      <c r="I40" s="6"/>
      <c r="J40" s="9"/>
      <c r="K40" s="9"/>
    </row>
    <row r="41" spans="1:11">
      <c r="A41" s="8"/>
      <c r="B41" s="7"/>
      <c r="C41" s="7"/>
      <c r="D41" s="7"/>
      <c r="E41" s="7"/>
      <c r="F41" s="7"/>
      <c r="G41" s="7"/>
      <c r="H41" s="7"/>
      <c r="I41" s="6"/>
      <c r="J41" s="9"/>
      <c r="K41" s="9"/>
    </row>
    <row r="42" spans="1:11">
      <c r="A42" s="8"/>
      <c r="B42" s="7"/>
      <c r="C42" s="7"/>
      <c r="D42" s="7"/>
      <c r="E42" s="7"/>
      <c r="F42" s="7"/>
      <c r="G42" s="7"/>
      <c r="H42" s="7"/>
      <c r="I42" s="6"/>
      <c r="J42" s="9"/>
      <c r="K42" s="9"/>
    </row>
    <row r="43" spans="1:11">
      <c r="A43" s="8"/>
      <c r="B43" s="7"/>
      <c r="C43" s="7"/>
      <c r="D43" s="7"/>
      <c r="E43" s="7"/>
      <c r="F43" s="7"/>
      <c r="G43" s="7"/>
      <c r="H43" s="7"/>
      <c r="I43" s="6"/>
      <c r="J43" s="9"/>
      <c r="K43" s="9"/>
    </row>
    <row r="44" spans="1:11">
      <c r="A44" s="8"/>
      <c r="B44" s="7"/>
      <c r="C44" s="7"/>
      <c r="D44" s="7"/>
      <c r="E44" s="7"/>
      <c r="F44" s="7"/>
      <c r="G44" s="7"/>
      <c r="H44" s="7"/>
      <c r="I44" s="6"/>
      <c r="J44" s="9"/>
      <c r="K44" s="9"/>
    </row>
    <row r="45" spans="1:11">
      <c r="A45" s="8"/>
      <c r="B45" s="7"/>
      <c r="C45" s="7"/>
      <c r="D45" s="7"/>
      <c r="E45" s="7"/>
      <c r="F45" s="7"/>
      <c r="G45" s="7"/>
      <c r="H45" s="7"/>
      <c r="I45" s="9"/>
      <c r="J45" s="9"/>
      <c r="K45" s="9"/>
    </row>
    <row r="46" spans="1:11">
      <c r="A46" s="8"/>
      <c r="B46" s="7"/>
      <c r="C46" s="7"/>
      <c r="D46" s="7"/>
      <c r="E46" s="7"/>
      <c r="F46" s="7"/>
      <c r="G46" s="7"/>
      <c r="H46" s="7"/>
      <c r="I46" s="9"/>
      <c r="J46" s="9"/>
      <c r="K46" s="9"/>
    </row>
    <row r="47" spans="1:11">
      <c r="A47" s="8"/>
      <c r="B47" s="7"/>
      <c r="C47" s="7"/>
      <c r="D47" s="7"/>
      <c r="E47" s="7"/>
      <c r="F47" s="7"/>
      <c r="G47" s="7"/>
      <c r="H47" s="7"/>
      <c r="I47" s="9"/>
      <c r="J47" s="9"/>
      <c r="K47" s="9"/>
    </row>
    <row r="48" spans="1:11">
      <c r="A48" s="8"/>
      <c r="B48" s="7"/>
      <c r="C48" s="7"/>
      <c r="D48" s="7"/>
      <c r="E48" s="7"/>
      <c r="F48" s="7"/>
      <c r="G48" s="7"/>
      <c r="H48" s="7"/>
      <c r="I48" s="9"/>
      <c r="J48" s="9"/>
      <c r="K48" s="9"/>
    </row>
    <row r="49" spans="1:19">
      <c r="A49" s="8"/>
      <c r="B49" s="7"/>
      <c r="C49" s="7"/>
      <c r="D49" s="7"/>
      <c r="E49" s="7"/>
      <c r="F49" s="7"/>
      <c r="G49" s="7"/>
      <c r="H49" s="7"/>
      <c r="I49" s="9"/>
      <c r="J49" s="9"/>
      <c r="K49" s="9"/>
    </row>
    <row r="50" spans="1:19">
      <c r="A50" s="8"/>
      <c r="B50" s="7"/>
      <c r="C50" s="7"/>
      <c r="D50" s="7"/>
      <c r="E50" s="7"/>
      <c r="F50" s="7"/>
      <c r="G50" s="7"/>
      <c r="H50" s="7"/>
      <c r="I50" s="9"/>
      <c r="J50" s="9"/>
      <c r="K50" s="9"/>
    </row>
    <row r="51" spans="1:19">
      <c r="A51" s="8"/>
      <c r="B51" s="7"/>
      <c r="C51" s="7"/>
      <c r="D51" s="7"/>
      <c r="E51" s="7"/>
      <c r="F51" s="7"/>
      <c r="G51" s="7"/>
      <c r="H51" s="7"/>
      <c r="I51" s="9"/>
      <c r="J51" s="9"/>
      <c r="K51" s="9"/>
    </row>
    <row r="52" spans="1:19">
      <c r="A52" s="8"/>
      <c r="B52" s="7"/>
      <c r="C52" s="7"/>
      <c r="D52" s="7"/>
      <c r="E52" s="7"/>
      <c r="F52" s="7"/>
      <c r="G52" s="7"/>
      <c r="H52" s="7"/>
      <c r="I52" s="9"/>
      <c r="J52" s="9"/>
      <c r="K52" s="9"/>
    </row>
    <row r="53" spans="1:19">
      <c r="A53" s="8"/>
      <c r="B53" s="7"/>
      <c r="C53" s="7"/>
      <c r="D53" s="7"/>
      <c r="E53" s="7"/>
      <c r="F53" s="7"/>
      <c r="G53" s="7"/>
      <c r="H53" s="7"/>
      <c r="I53" s="9"/>
      <c r="J53" s="9"/>
      <c r="K53" s="9"/>
    </row>
    <row r="54" spans="1:19">
      <c r="A54" s="8"/>
      <c r="B54" s="7"/>
      <c r="C54" s="7"/>
      <c r="D54" s="7"/>
      <c r="E54" s="7"/>
      <c r="F54" s="7"/>
      <c r="G54" s="7"/>
      <c r="H54" s="7"/>
      <c r="I54" s="9"/>
      <c r="J54" s="9"/>
      <c r="K54" s="9"/>
    </row>
    <row r="55" spans="1:19">
      <c r="A55" s="7"/>
      <c r="B55" s="7"/>
      <c r="C55" s="7"/>
      <c r="D55" s="7"/>
      <c r="E55" s="7"/>
      <c r="F55" s="7"/>
      <c r="G55" s="7"/>
      <c r="H55" s="7"/>
      <c r="I55" s="9"/>
      <c r="J55" s="9"/>
      <c r="K55" s="9"/>
      <c r="N55" s="7"/>
      <c r="O55" s="7"/>
      <c r="P55" s="7"/>
      <c r="Q55" s="7"/>
      <c r="R55" s="7"/>
      <c r="S55" s="7"/>
    </row>
    <row r="56" spans="1:19">
      <c r="A56" s="7"/>
      <c r="B56" s="7"/>
      <c r="C56" s="7"/>
      <c r="D56" s="7"/>
      <c r="E56" s="7"/>
      <c r="F56" s="7"/>
      <c r="G56" s="7"/>
      <c r="H56" s="7"/>
      <c r="I56" s="6"/>
      <c r="J56" s="9"/>
      <c r="K56" s="9"/>
      <c r="N56" s="22"/>
      <c r="O56" s="22"/>
      <c r="P56" s="22"/>
      <c r="Q56" s="22"/>
      <c r="R56" s="22"/>
      <c r="S56" s="22"/>
    </row>
    <row r="57" spans="1:19">
      <c r="I57" s="10"/>
    </row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O5:O6"/>
    <mergeCell ref="N10:P10"/>
    <mergeCell ref="Q10:S10"/>
    <mergeCell ref="Q5:Q6"/>
    <mergeCell ref="R5:R6"/>
    <mergeCell ref="S5:S6"/>
    <mergeCell ref="R7:R8"/>
    <mergeCell ref="S7:S8"/>
    <mergeCell ref="N9:S9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32"/>
  <sheetViews>
    <sheetView workbookViewId="0">
      <selection activeCell="K7" sqref="K7:K8"/>
    </sheetView>
  </sheetViews>
  <sheetFormatPr defaultRowHeight="15"/>
  <cols>
    <col min="1" max="1" width="10.140625" bestFit="1" customWidth="1"/>
  </cols>
  <sheetData>
    <row r="1" spans="1:11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1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186</v>
      </c>
    </row>
    <row r="3" spans="1:11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1">
      <c r="A4" s="2" t="s">
        <v>36</v>
      </c>
      <c r="B4" s="2" t="s">
        <v>30</v>
      </c>
      <c r="C4" s="500">
        <f>AVERAGEA(I7:I32)</f>
        <v>0.90062111801242239</v>
      </c>
      <c r="D4" s="501"/>
      <c r="E4" s="500">
        <f>AVERAGEA(J7:J32)</f>
        <v>15.247564935064934</v>
      </c>
      <c r="F4" s="501"/>
      <c r="G4" s="500">
        <f>AVERAGEA(K7:K32)</f>
        <v>1.956133540372671</v>
      </c>
      <c r="H4" s="501"/>
      <c r="I4" s="3">
        <f>C4*K2</f>
        <v>167.51552795031057</v>
      </c>
      <c r="J4" s="3">
        <f>I4*E4</f>
        <v>2554.2038900540456</v>
      </c>
      <c r="K4" s="3">
        <f>K2*G4</f>
        <v>363.84083850931682</v>
      </c>
    </row>
    <row r="5" spans="1:11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</row>
    <row r="6" spans="1:11">
      <c r="A6" s="492"/>
      <c r="B6" s="492"/>
      <c r="C6" s="492"/>
      <c r="D6" s="492"/>
      <c r="E6" s="492"/>
      <c r="F6" s="4" t="s">
        <v>20</v>
      </c>
      <c r="G6" s="5" t="s">
        <v>21</v>
      </c>
      <c r="H6" s="492"/>
      <c r="I6" s="492"/>
      <c r="J6" s="492"/>
      <c r="K6" s="492"/>
    </row>
    <row r="7" spans="1:11">
      <c r="A7" s="11">
        <v>46149</v>
      </c>
      <c r="B7" s="12">
        <v>1450</v>
      </c>
      <c r="C7" s="12" t="s">
        <v>62</v>
      </c>
      <c r="D7" s="12">
        <v>152</v>
      </c>
      <c r="E7" s="12">
        <v>9</v>
      </c>
      <c r="F7" s="12">
        <v>143</v>
      </c>
      <c r="G7" s="12">
        <v>2106</v>
      </c>
      <c r="H7" s="12">
        <v>258</v>
      </c>
      <c r="I7" s="6">
        <f>F7/(D7+E7)</f>
        <v>0.88819875776397517</v>
      </c>
      <c r="J7" s="6">
        <f>G7/F7</f>
        <v>14.727272727272727</v>
      </c>
      <c r="K7" s="6">
        <f>H7/(D7+E7)</f>
        <v>1.6024844720496894</v>
      </c>
    </row>
    <row r="8" spans="1:11">
      <c r="A8" s="11">
        <v>46156</v>
      </c>
      <c r="B8" s="12">
        <v>1450</v>
      </c>
      <c r="C8" s="12" t="s">
        <v>62</v>
      </c>
      <c r="D8" s="12">
        <v>171</v>
      </c>
      <c r="E8" s="12">
        <v>13</v>
      </c>
      <c r="F8" s="12">
        <v>168</v>
      </c>
      <c r="G8" s="12">
        <v>2649</v>
      </c>
      <c r="H8" s="12">
        <v>425</v>
      </c>
      <c r="I8" s="6">
        <f>F8/(D8+E8)</f>
        <v>0.91304347826086951</v>
      </c>
      <c r="J8" s="6">
        <f>G8/F8</f>
        <v>15.767857142857142</v>
      </c>
      <c r="K8" s="6">
        <f>H8/(D8+E8)</f>
        <v>2.3097826086956523</v>
      </c>
    </row>
    <row r="9" spans="1:11">
      <c r="A9" s="11"/>
      <c r="B9" s="12"/>
      <c r="C9" s="12"/>
      <c r="D9" s="12"/>
      <c r="E9" s="12"/>
      <c r="F9" s="12"/>
      <c r="G9" s="12"/>
      <c r="H9" s="12"/>
      <c r="I9" s="6"/>
      <c r="J9" s="6"/>
      <c r="K9" s="6"/>
    </row>
    <row r="10" spans="1:11">
      <c r="A10" s="11"/>
      <c r="B10" s="12"/>
      <c r="C10" s="12"/>
      <c r="D10" s="12"/>
      <c r="E10" s="12"/>
      <c r="F10" s="12"/>
      <c r="G10" s="12"/>
      <c r="H10" s="12"/>
      <c r="I10" s="6"/>
      <c r="J10" s="6"/>
      <c r="K10" s="6"/>
    </row>
    <row r="11" spans="1:11">
      <c r="A11" s="8"/>
      <c r="B11" s="7"/>
      <c r="C11" s="7"/>
      <c r="D11" s="7"/>
      <c r="E11" s="7"/>
      <c r="F11" s="7"/>
      <c r="G11" s="7"/>
      <c r="H11" s="7"/>
      <c r="I11" s="6"/>
      <c r="J11" s="6"/>
      <c r="K11" s="6"/>
    </row>
    <row r="12" spans="1:11">
      <c r="A12" s="8"/>
      <c r="B12" s="7"/>
      <c r="C12" s="7"/>
      <c r="D12" s="7"/>
      <c r="E12" s="7"/>
      <c r="F12" s="7"/>
      <c r="G12" s="7"/>
      <c r="H12" s="7"/>
      <c r="I12" s="6"/>
      <c r="J12" s="6"/>
      <c r="K12" s="6"/>
    </row>
    <row r="13" spans="1:11">
      <c r="A13" s="8"/>
      <c r="B13" s="7"/>
      <c r="C13" s="7"/>
      <c r="D13" s="7"/>
      <c r="E13" s="7"/>
      <c r="F13" s="7"/>
      <c r="G13" s="7"/>
      <c r="H13" s="7"/>
      <c r="I13" s="6"/>
      <c r="J13" s="6"/>
      <c r="K13" s="6"/>
    </row>
    <row r="14" spans="1:11">
      <c r="A14" s="8"/>
      <c r="B14" s="7"/>
      <c r="C14" s="7"/>
      <c r="D14" s="7"/>
      <c r="E14" s="7"/>
      <c r="F14" s="7"/>
      <c r="G14" s="7"/>
      <c r="H14" s="7"/>
      <c r="I14" s="6"/>
      <c r="J14" s="6"/>
      <c r="K14" s="6"/>
    </row>
    <row r="15" spans="1:11">
      <c r="A15" s="8"/>
      <c r="B15" s="7"/>
      <c r="C15" s="7"/>
      <c r="D15" s="7"/>
      <c r="E15" s="7"/>
      <c r="F15" s="7"/>
      <c r="G15" s="7"/>
      <c r="H15" s="7"/>
      <c r="I15" s="6"/>
      <c r="J15" s="6"/>
      <c r="K15" s="6"/>
    </row>
    <row r="16" spans="1:11">
      <c r="A16" s="8"/>
      <c r="B16" s="7"/>
      <c r="C16" s="7"/>
      <c r="D16" s="7"/>
      <c r="E16" s="7"/>
      <c r="F16" s="7"/>
      <c r="G16" s="7"/>
      <c r="H16" s="7"/>
      <c r="I16" s="6"/>
      <c r="J16" s="9"/>
      <c r="K16" s="9"/>
    </row>
    <row r="17" spans="1:11">
      <c r="A17" s="8"/>
      <c r="B17" s="7"/>
      <c r="C17" s="7"/>
      <c r="D17" s="7"/>
      <c r="E17" s="7"/>
      <c r="F17" s="7"/>
      <c r="G17" s="7"/>
      <c r="H17" s="7"/>
      <c r="I17" s="6"/>
      <c r="J17" s="9"/>
      <c r="K17" s="9"/>
    </row>
    <row r="18" spans="1:11">
      <c r="A18" s="8"/>
      <c r="B18" s="7"/>
      <c r="C18" s="7"/>
      <c r="D18" s="7"/>
      <c r="E18" s="7"/>
      <c r="F18" s="7"/>
      <c r="G18" s="7"/>
      <c r="H18" s="7"/>
      <c r="I18" s="6"/>
      <c r="J18" s="9"/>
      <c r="K18" s="9"/>
    </row>
    <row r="19" spans="1:11">
      <c r="A19" s="8"/>
      <c r="B19" s="7"/>
      <c r="C19" s="7"/>
      <c r="D19" s="7"/>
      <c r="E19" s="7"/>
      <c r="F19" s="7"/>
      <c r="G19" s="7"/>
      <c r="H19" s="7"/>
      <c r="I19" s="6"/>
      <c r="J19" s="9"/>
      <c r="K19" s="9"/>
    </row>
    <row r="20" spans="1:11">
      <c r="A20" s="8"/>
      <c r="B20" s="7"/>
      <c r="C20" s="7"/>
      <c r="D20" s="7"/>
      <c r="E20" s="7"/>
      <c r="F20" s="7"/>
      <c r="G20" s="7"/>
      <c r="H20" s="7"/>
      <c r="I20" s="6"/>
      <c r="J20" s="9"/>
      <c r="K20" s="9"/>
    </row>
    <row r="21" spans="1:11">
      <c r="A21" s="8"/>
      <c r="B21" s="7"/>
      <c r="C21" s="7"/>
      <c r="D21" s="7"/>
      <c r="E21" s="7"/>
      <c r="F21" s="7"/>
      <c r="G21" s="7"/>
      <c r="H21" s="7"/>
      <c r="I21" s="9"/>
      <c r="J21" s="9"/>
      <c r="K21" s="9"/>
    </row>
    <row r="22" spans="1:11">
      <c r="A22" s="8"/>
      <c r="B22" s="7"/>
      <c r="C22" s="7"/>
      <c r="D22" s="7"/>
      <c r="E22" s="7"/>
      <c r="F22" s="7"/>
      <c r="G22" s="7"/>
      <c r="H22" s="7"/>
      <c r="I22" s="9"/>
      <c r="J22" s="9"/>
      <c r="K22" s="9"/>
    </row>
    <row r="23" spans="1:11">
      <c r="A23" s="8"/>
      <c r="B23" s="7"/>
      <c r="C23" s="7"/>
      <c r="D23" s="7"/>
      <c r="E23" s="7"/>
      <c r="F23" s="7"/>
      <c r="G23" s="7"/>
      <c r="H23" s="7"/>
      <c r="I23" s="9"/>
      <c r="J23" s="9"/>
      <c r="K23" s="9"/>
    </row>
    <row r="24" spans="1:11">
      <c r="A24" s="8"/>
      <c r="B24" s="7"/>
      <c r="C24" s="7"/>
      <c r="D24" s="7"/>
      <c r="E24" s="7"/>
      <c r="F24" s="7"/>
      <c r="G24" s="7"/>
      <c r="H24" s="7"/>
      <c r="I24" s="9"/>
      <c r="J24" s="9"/>
      <c r="K24" s="9"/>
    </row>
    <row r="25" spans="1:11">
      <c r="A25" s="8"/>
      <c r="B25" s="7"/>
      <c r="C25" s="7"/>
      <c r="D25" s="7"/>
      <c r="E25" s="7"/>
      <c r="F25" s="7"/>
      <c r="G25" s="7"/>
      <c r="H25" s="7"/>
      <c r="I25" s="9"/>
      <c r="J25" s="9"/>
      <c r="K25" s="9"/>
    </row>
    <row r="26" spans="1:11">
      <c r="A26" s="8"/>
      <c r="B26" s="7"/>
      <c r="C26" s="7"/>
      <c r="D26" s="7"/>
      <c r="E26" s="7"/>
      <c r="F26" s="7"/>
      <c r="G26" s="7"/>
      <c r="H26" s="7"/>
      <c r="I26" s="9"/>
      <c r="J26" s="9"/>
      <c r="K26" s="9"/>
    </row>
    <row r="27" spans="1:11">
      <c r="A27" s="8"/>
      <c r="B27" s="7"/>
      <c r="C27" s="7"/>
      <c r="D27" s="7"/>
      <c r="E27" s="7"/>
      <c r="F27" s="7"/>
      <c r="G27" s="7"/>
      <c r="H27" s="7"/>
      <c r="I27" s="9"/>
      <c r="J27" s="9"/>
      <c r="K27" s="9"/>
    </row>
    <row r="28" spans="1:11">
      <c r="A28" s="8"/>
      <c r="B28" s="7"/>
      <c r="C28" s="7"/>
      <c r="D28" s="7"/>
      <c r="E28" s="7"/>
      <c r="F28" s="7"/>
      <c r="G28" s="7"/>
      <c r="H28" s="7"/>
      <c r="I28" s="9"/>
      <c r="J28" s="9"/>
      <c r="K28" s="9"/>
    </row>
    <row r="29" spans="1:11">
      <c r="A29" s="8"/>
      <c r="B29" s="7"/>
      <c r="C29" s="7"/>
      <c r="D29" s="7"/>
      <c r="E29" s="7"/>
      <c r="F29" s="7"/>
      <c r="G29" s="7"/>
      <c r="H29" s="7"/>
      <c r="I29" s="9"/>
      <c r="J29" s="9"/>
      <c r="K29" s="9"/>
    </row>
    <row r="30" spans="1:11">
      <c r="A30" s="8"/>
      <c r="B30" s="7"/>
      <c r="C30" s="7"/>
      <c r="D30" s="7"/>
      <c r="E30" s="7"/>
      <c r="F30" s="7"/>
      <c r="G30" s="7"/>
      <c r="H30" s="7"/>
      <c r="I30" s="9"/>
      <c r="J30" s="9"/>
      <c r="K30" s="9"/>
    </row>
    <row r="31" spans="1:11">
      <c r="A31" s="7"/>
      <c r="B31" s="7"/>
      <c r="C31" s="7"/>
      <c r="D31" s="7"/>
      <c r="E31" s="7"/>
      <c r="F31" s="7"/>
      <c r="G31" s="7"/>
      <c r="H31" s="7"/>
      <c r="I31" s="9"/>
      <c r="J31" s="9"/>
      <c r="K31" s="9"/>
    </row>
    <row r="32" spans="1:11">
      <c r="A32" s="7"/>
      <c r="B32" s="7"/>
      <c r="C32" s="7"/>
      <c r="D32" s="7"/>
      <c r="E32" s="7"/>
      <c r="F32" s="7"/>
      <c r="G32" s="7"/>
      <c r="H32" s="7"/>
      <c r="I32" s="6"/>
      <c r="J32" s="9"/>
      <c r="K32" s="9"/>
    </row>
  </sheetData>
  <sheetProtection password="CC6F" sheet="1" objects="1" scenarios="1"/>
  <mergeCells count="23">
    <mergeCell ref="I5:I6"/>
    <mergeCell ref="J5:J6"/>
    <mergeCell ref="K5:K6"/>
    <mergeCell ref="C4:D4"/>
    <mergeCell ref="E4:F4"/>
    <mergeCell ref="G4:H4"/>
    <mergeCell ref="F5:G5"/>
    <mergeCell ref="H5:H6"/>
    <mergeCell ref="A5:A6"/>
    <mergeCell ref="B5:B6"/>
    <mergeCell ref="C5:C6"/>
    <mergeCell ref="D5:D6"/>
    <mergeCell ref="E5:E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sheetPr codeName="Лист12"/>
  <dimension ref="A1:S1000"/>
  <sheetViews>
    <sheetView workbookViewId="0">
      <selection activeCell="K7" sqref="K7:K8"/>
    </sheetView>
  </sheetViews>
  <sheetFormatPr defaultColWidth="14.42578125" defaultRowHeight="15" customHeight="1"/>
  <cols>
    <col min="1" max="1" width="10.140625" customWidth="1"/>
    <col min="2" max="8" width="8.7109375" customWidth="1"/>
    <col min="9" max="9" width="14" customWidth="1"/>
    <col min="10" max="10" width="15.5703125" customWidth="1"/>
    <col min="11" max="11" width="12.85546875" customWidth="1"/>
    <col min="12" max="13" width="8.7109375" customWidth="1"/>
    <col min="14" max="14" width="12" customWidth="1"/>
    <col min="15" max="15" width="11.5703125" customWidth="1"/>
    <col min="16" max="16" width="13.5703125" customWidth="1"/>
    <col min="17" max="17" width="12" customWidth="1"/>
    <col min="18" max="18" width="10.42578125" customWidth="1"/>
    <col min="19" max="19" width="12.7109375" customWidth="1"/>
    <col min="20" max="26" width="8.7109375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186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36</v>
      </c>
      <c r="B4" s="2" t="s">
        <v>29</v>
      </c>
      <c r="C4" s="500">
        <f>AVERAGEA(I7:I32)</f>
        <v>0.89282840236686389</v>
      </c>
      <c r="D4" s="501"/>
      <c r="E4" s="500">
        <f>AVERAGEA(J7:J32)</f>
        <v>15.031537684860723</v>
      </c>
      <c r="F4" s="501"/>
      <c r="G4" s="500">
        <f>AVERAGEA(K7:K32)</f>
        <v>1.7052781065088758</v>
      </c>
      <c r="H4" s="501"/>
      <c r="I4" s="3">
        <f>C4*K2</f>
        <v>166.06608284023667</v>
      </c>
      <c r="J4" s="3">
        <f>I4*E4</f>
        <v>2496.2285823902203</v>
      </c>
      <c r="K4" s="3">
        <f>K2*G4</f>
        <v>317.1817278106509</v>
      </c>
    </row>
    <row r="5" spans="1:19" ht="15" customHeight="1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2"/>
      <c r="B6" s="492"/>
      <c r="C6" s="492"/>
      <c r="D6" s="492"/>
      <c r="E6" s="492"/>
      <c r="F6" s="4" t="s">
        <v>20</v>
      </c>
      <c r="G6" s="5" t="s">
        <v>21</v>
      </c>
      <c r="H6" s="492"/>
      <c r="I6" s="492"/>
      <c r="J6" s="492"/>
      <c r="K6" s="492"/>
      <c r="N6" s="492"/>
      <c r="O6" s="492"/>
      <c r="P6" s="492"/>
      <c r="Q6" s="492"/>
      <c r="R6" s="492"/>
      <c r="S6" s="492"/>
    </row>
    <row r="7" spans="1:19" ht="15.75">
      <c r="A7" s="11">
        <v>46206</v>
      </c>
      <c r="B7" s="12">
        <v>1426</v>
      </c>
      <c r="C7" s="12" t="s">
        <v>62</v>
      </c>
      <c r="D7" s="12">
        <v>145</v>
      </c>
      <c r="E7" s="12">
        <v>24</v>
      </c>
      <c r="F7" s="12">
        <v>149</v>
      </c>
      <c r="G7" s="12">
        <v>2280</v>
      </c>
      <c r="H7" s="12">
        <v>283</v>
      </c>
      <c r="I7" s="6">
        <f>F7/(D7+E7)</f>
        <v>0.88165680473372776</v>
      </c>
      <c r="J7" s="6">
        <f>G7/F7</f>
        <v>15.302013422818792</v>
      </c>
      <c r="K7" s="6">
        <f>H7/(D7+E7)</f>
        <v>1.6745562130177514</v>
      </c>
      <c r="N7" s="13" t="s">
        <v>49</v>
      </c>
      <c r="O7" s="14">
        <f>K2</f>
        <v>186</v>
      </c>
      <c r="P7" s="15">
        <f>I4</f>
        <v>166.06608284023667</v>
      </c>
      <c r="Q7" s="15">
        <f>J4</f>
        <v>2496.2285823902203</v>
      </c>
      <c r="R7" s="493">
        <f>Q7/P7</f>
        <v>15.031537684860723</v>
      </c>
      <c r="S7" s="493">
        <f>P7/O7</f>
        <v>0.89282840236686389</v>
      </c>
    </row>
    <row r="8" spans="1:19" ht="15.75">
      <c r="A8" s="11">
        <v>46213</v>
      </c>
      <c r="B8" s="12">
        <v>1426</v>
      </c>
      <c r="C8" s="12" t="s">
        <v>62</v>
      </c>
      <c r="D8" s="12">
        <v>112</v>
      </c>
      <c r="E8" s="12">
        <v>13</v>
      </c>
      <c r="F8" s="12">
        <v>113</v>
      </c>
      <c r="G8" s="12">
        <v>1668</v>
      </c>
      <c r="H8" s="12">
        <v>217</v>
      </c>
      <c r="I8" s="6">
        <f>F8/(D8+E8)</f>
        <v>0.90400000000000003</v>
      </c>
      <c r="J8" s="6">
        <f>G8/F8</f>
        <v>14.761061946902656</v>
      </c>
      <c r="K8" s="6">
        <f>H8/(D8+E8)</f>
        <v>1.736</v>
      </c>
      <c r="N8" s="13" t="s">
        <v>50</v>
      </c>
      <c r="O8" s="14">
        <f>O7</f>
        <v>186</v>
      </c>
      <c r="P8" s="16">
        <f>O8*S7</f>
        <v>166.06608284023667</v>
      </c>
      <c r="Q8" s="16">
        <f>P8*R7</f>
        <v>2496.2285823902203</v>
      </c>
      <c r="R8" s="492"/>
      <c r="S8" s="492"/>
    </row>
    <row r="9" spans="1:19">
      <c r="A9" s="11"/>
      <c r="B9" s="12"/>
      <c r="C9" s="12"/>
      <c r="D9" s="12"/>
      <c r="E9" s="12"/>
      <c r="F9" s="12"/>
      <c r="G9" s="12"/>
      <c r="H9" s="12"/>
      <c r="I9" s="6"/>
      <c r="J9" s="6"/>
      <c r="K9" s="6"/>
      <c r="N9" s="494" t="s">
        <v>51</v>
      </c>
      <c r="O9" s="495"/>
      <c r="P9" s="495"/>
      <c r="Q9" s="495"/>
      <c r="R9" s="495"/>
      <c r="S9" s="496"/>
    </row>
    <row r="10" spans="1:19">
      <c r="A10" s="11"/>
      <c r="B10" s="12"/>
      <c r="C10" s="12"/>
      <c r="D10" s="12"/>
      <c r="E10" s="12"/>
      <c r="F10" s="12"/>
      <c r="G10" s="12"/>
      <c r="H10" s="12"/>
      <c r="I10" s="6"/>
      <c r="J10" s="6"/>
      <c r="K10" s="6"/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8"/>
      <c r="B11" s="7"/>
      <c r="C11" s="7"/>
      <c r="D11" s="7"/>
      <c r="E11" s="7"/>
      <c r="F11" s="7"/>
      <c r="G11" s="7"/>
      <c r="H11" s="7"/>
      <c r="I11" s="6"/>
      <c r="J11" s="6"/>
      <c r="K11" s="6"/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8"/>
      <c r="B12" s="7"/>
      <c r="C12" s="7"/>
      <c r="D12" s="7"/>
      <c r="E12" s="7"/>
      <c r="F12" s="7"/>
      <c r="G12" s="7"/>
      <c r="H12" s="7"/>
      <c r="I12" s="6"/>
      <c r="J12" s="6"/>
      <c r="K12" s="6"/>
      <c r="N12" s="17">
        <v>1</v>
      </c>
      <c r="O12" s="18">
        <v>0</v>
      </c>
      <c r="P12" s="19">
        <f>O12*R7</f>
        <v>0</v>
      </c>
      <c r="Q12" s="17">
        <v>2</v>
      </c>
      <c r="R12" s="18">
        <v>40</v>
      </c>
      <c r="S12" s="19">
        <f>R12*R7</f>
        <v>601.26150739442892</v>
      </c>
    </row>
    <row r="13" spans="1:19" ht="15.75">
      <c r="A13" s="8"/>
      <c r="B13" s="7"/>
      <c r="C13" s="7"/>
      <c r="D13" s="7"/>
      <c r="E13" s="7"/>
      <c r="F13" s="7"/>
      <c r="G13" s="7"/>
      <c r="H13" s="7"/>
      <c r="I13" s="6"/>
      <c r="J13" s="6"/>
      <c r="K13" s="6"/>
      <c r="N13" s="17">
        <v>2</v>
      </c>
      <c r="O13" s="18">
        <v>0</v>
      </c>
      <c r="P13" s="19">
        <f>O13*R7</f>
        <v>0</v>
      </c>
      <c r="Q13" s="17">
        <v>3</v>
      </c>
      <c r="R13" s="18">
        <v>142</v>
      </c>
      <c r="S13" s="19">
        <f>R7*R13</f>
        <v>2134.4783512502227</v>
      </c>
    </row>
    <row r="14" spans="1:19" ht="15.75">
      <c r="A14" s="8"/>
      <c r="B14" s="7"/>
      <c r="C14" s="7"/>
      <c r="D14" s="7"/>
      <c r="E14" s="7"/>
      <c r="F14" s="7"/>
      <c r="G14" s="7"/>
      <c r="H14" s="7"/>
      <c r="I14" s="6"/>
      <c r="J14" s="6"/>
      <c r="K14" s="6"/>
      <c r="N14" s="17">
        <v>3</v>
      </c>
      <c r="O14" s="18">
        <v>1</v>
      </c>
      <c r="P14" s="19">
        <f>R7*O14</f>
        <v>15.031537684860723</v>
      </c>
      <c r="Q14" s="17">
        <v>5</v>
      </c>
      <c r="R14" s="18">
        <v>0</v>
      </c>
      <c r="S14" s="19">
        <f>R14*R7</f>
        <v>0</v>
      </c>
    </row>
    <row r="15" spans="1:19" ht="15.75">
      <c r="A15" s="8"/>
      <c r="B15" s="7"/>
      <c r="C15" s="7"/>
      <c r="D15" s="7"/>
      <c r="E15" s="7"/>
      <c r="F15" s="7"/>
      <c r="G15" s="7"/>
      <c r="H15" s="7"/>
      <c r="I15" s="6"/>
      <c r="J15" s="6"/>
      <c r="K15" s="6"/>
      <c r="N15" s="17">
        <v>4</v>
      </c>
      <c r="O15" s="18">
        <v>0</v>
      </c>
      <c r="P15" s="19">
        <f>R7*O15</f>
        <v>0</v>
      </c>
      <c r="Q15" s="17">
        <v>1</v>
      </c>
      <c r="R15" s="18">
        <v>0</v>
      </c>
      <c r="S15" s="19">
        <f>R7*R15</f>
        <v>0</v>
      </c>
    </row>
    <row r="16" spans="1:19" ht="15.75">
      <c r="A16" s="8"/>
      <c r="B16" s="7"/>
      <c r="C16" s="7"/>
      <c r="D16" s="7"/>
      <c r="E16" s="7"/>
      <c r="F16" s="7"/>
      <c r="G16" s="7"/>
      <c r="H16" s="7"/>
      <c r="I16" s="6"/>
      <c r="J16" s="9"/>
      <c r="K16" s="9"/>
      <c r="N16" s="17">
        <v>5</v>
      </c>
      <c r="O16" s="18">
        <v>0</v>
      </c>
      <c r="P16" s="19">
        <f>R7*O16</f>
        <v>0</v>
      </c>
      <c r="Q16" s="17"/>
      <c r="R16" s="18">
        <v>0</v>
      </c>
      <c r="S16" s="19">
        <f>R7*R16</f>
        <v>0</v>
      </c>
    </row>
    <row r="17" spans="1:19" ht="15.75">
      <c r="A17" s="8"/>
      <c r="B17" s="7"/>
      <c r="C17" s="7"/>
      <c r="D17" s="7"/>
      <c r="E17" s="7"/>
      <c r="F17" s="7"/>
      <c r="G17" s="7"/>
      <c r="H17" s="7"/>
      <c r="I17" s="6"/>
      <c r="J17" s="9"/>
      <c r="K17" s="9"/>
      <c r="N17" s="17">
        <v>6</v>
      </c>
      <c r="O17" s="18">
        <v>0</v>
      </c>
      <c r="P17" s="19">
        <f>R7*O17</f>
        <v>0</v>
      </c>
      <c r="Q17" s="17"/>
      <c r="R17" s="18">
        <v>0</v>
      </c>
      <c r="S17" s="19">
        <f>R7*R17</f>
        <v>0</v>
      </c>
    </row>
    <row r="18" spans="1:19" ht="15.75">
      <c r="A18" s="8"/>
      <c r="B18" s="7"/>
      <c r="C18" s="7"/>
      <c r="D18" s="7"/>
      <c r="E18" s="7"/>
      <c r="F18" s="7"/>
      <c r="G18" s="7"/>
      <c r="H18" s="7"/>
      <c r="I18" s="6"/>
      <c r="J18" s="9"/>
      <c r="K18" s="9"/>
      <c r="N18" s="17">
        <v>7</v>
      </c>
      <c r="O18" s="18">
        <v>0</v>
      </c>
      <c r="P18" s="19">
        <f>R7*O18</f>
        <v>0</v>
      </c>
      <c r="Q18" s="17"/>
      <c r="R18" s="18">
        <v>0</v>
      </c>
      <c r="S18" s="19">
        <f>R7*R18</f>
        <v>0</v>
      </c>
    </row>
    <row r="19" spans="1:19" ht="15.75">
      <c r="A19" s="8"/>
      <c r="B19" s="7"/>
      <c r="C19" s="7"/>
      <c r="D19" s="7"/>
      <c r="E19" s="7"/>
      <c r="F19" s="7"/>
      <c r="G19" s="7"/>
      <c r="H19" s="7"/>
      <c r="I19" s="6"/>
      <c r="J19" s="9"/>
      <c r="K19" s="9"/>
      <c r="N19" s="17">
        <v>8</v>
      </c>
      <c r="O19" s="18">
        <v>30</v>
      </c>
      <c r="P19" s="19">
        <f>R7*O19</f>
        <v>450.94613054582169</v>
      </c>
      <c r="Q19" s="17"/>
      <c r="R19" s="18">
        <v>0</v>
      </c>
      <c r="S19" s="19">
        <f>R7*R19</f>
        <v>0</v>
      </c>
    </row>
    <row r="20" spans="1:19" ht="15.75">
      <c r="A20" s="8"/>
      <c r="B20" s="7"/>
      <c r="C20" s="7"/>
      <c r="D20" s="7"/>
      <c r="E20" s="7"/>
      <c r="F20" s="7"/>
      <c r="G20" s="7"/>
      <c r="H20" s="7"/>
      <c r="I20" s="6"/>
      <c r="J20" s="9"/>
      <c r="K20" s="9"/>
      <c r="N20" s="17">
        <v>9</v>
      </c>
      <c r="O20" s="18">
        <v>50</v>
      </c>
      <c r="P20" s="19">
        <f>R7*O20</f>
        <v>751.57688424303615</v>
      </c>
      <c r="Q20" s="17"/>
      <c r="R20" s="18">
        <v>0</v>
      </c>
      <c r="S20" s="19">
        <f>R7*R20</f>
        <v>0</v>
      </c>
    </row>
    <row r="21" spans="1:19" ht="15.75" customHeight="1">
      <c r="A21" s="8"/>
      <c r="B21" s="7"/>
      <c r="C21" s="7"/>
      <c r="D21" s="7"/>
      <c r="E21" s="7"/>
      <c r="F21" s="7"/>
      <c r="G21" s="7"/>
      <c r="H21" s="7"/>
      <c r="I21" s="9"/>
      <c r="J21" s="9"/>
      <c r="K21" s="9"/>
      <c r="N21" s="20" t="s">
        <v>53</v>
      </c>
      <c r="O21" s="18">
        <v>50</v>
      </c>
      <c r="P21" s="19">
        <f>R7*O21</f>
        <v>751.57688424303615</v>
      </c>
      <c r="Q21" s="17"/>
      <c r="R21" s="18"/>
      <c r="S21" s="19">
        <f>R7*R21</f>
        <v>0</v>
      </c>
    </row>
    <row r="22" spans="1:19" ht="15.75" customHeight="1">
      <c r="A22" s="8"/>
      <c r="B22" s="7"/>
      <c r="C22" s="7"/>
      <c r="D22" s="7"/>
      <c r="E22" s="7"/>
      <c r="F22" s="7"/>
      <c r="G22" s="7"/>
      <c r="H22" s="7"/>
      <c r="I22" s="9"/>
      <c r="J22" s="9"/>
      <c r="K22" s="9"/>
      <c r="N22" s="13" t="s">
        <v>59</v>
      </c>
      <c r="O22" s="21">
        <f>P8-O12-O13-O14-O15-O16-O17-O18-O19-O20-O21</f>
        <v>35.066082840236675</v>
      </c>
      <c r="P22" s="21">
        <f>Q8-P12-P13-P14-P15-P16-P17-P18-P19-P20-P21</f>
        <v>527.09714567346555</v>
      </c>
      <c r="Q22" s="13" t="s">
        <v>59</v>
      </c>
      <c r="R22" s="21">
        <f>P8-R12-R13-R14-R15-R16-R17-R18-R19-R20-R21</f>
        <v>-15.933917159763325</v>
      </c>
      <c r="S22" s="21">
        <f>Q8-S12-S13-S14-S15-S16-S17-S18-S19-S20-S21</f>
        <v>-239.51127625443132</v>
      </c>
    </row>
    <row r="23" spans="1:19" ht="15.75" customHeight="1">
      <c r="A23" s="8"/>
      <c r="B23" s="7"/>
      <c r="C23" s="7"/>
      <c r="D23" s="7"/>
      <c r="E23" s="7"/>
      <c r="F23" s="7"/>
      <c r="G23" s="7"/>
      <c r="H23" s="7"/>
      <c r="I23" s="9"/>
      <c r="J23" s="9"/>
      <c r="K23" s="9"/>
      <c r="N23" s="13" t="s">
        <v>60</v>
      </c>
      <c r="O23" s="16">
        <f>O12+O13+O14+O15+O16+O17+O18+O19+O20+O21</f>
        <v>131</v>
      </c>
      <c r="P23" s="16">
        <f>P12+P13+P14+P15+P16+P17+P18+P19+P20+P21</f>
        <v>1969.1314367167547</v>
      </c>
      <c r="Q23" s="13" t="s">
        <v>60</v>
      </c>
      <c r="R23" s="16">
        <f>R12+R13+R14+R15+R16+R17+R18+R19+R20+R21</f>
        <v>182</v>
      </c>
      <c r="S23" s="16">
        <f>S12+S13+S14+S15+S16+S17+S18+S19+S20+S21</f>
        <v>2735.7398586446516</v>
      </c>
    </row>
    <row r="24" spans="1:19" ht="15.75" customHeight="1">
      <c r="A24" s="8"/>
      <c r="B24" s="7"/>
      <c r="C24" s="7"/>
      <c r="D24" s="7"/>
      <c r="E24" s="7"/>
      <c r="F24" s="7"/>
      <c r="G24" s="7"/>
      <c r="H24" s="7"/>
      <c r="I24" s="9"/>
      <c r="J24" s="9"/>
      <c r="K24" s="9"/>
    </row>
    <row r="25" spans="1:19" ht="15.75" customHeight="1">
      <c r="A25" s="8"/>
      <c r="B25" s="7"/>
      <c r="C25" s="7"/>
      <c r="D25" s="7"/>
      <c r="E25" s="7"/>
      <c r="F25" s="7"/>
      <c r="G25" s="7"/>
      <c r="H25" s="7"/>
      <c r="I25" s="9"/>
      <c r="J25" s="9"/>
      <c r="K25" s="9"/>
    </row>
    <row r="26" spans="1:19" ht="15.75" customHeight="1">
      <c r="A26" s="8"/>
      <c r="B26" s="7"/>
      <c r="C26" s="7"/>
      <c r="D26" s="7"/>
      <c r="E26" s="7"/>
      <c r="F26" s="7"/>
      <c r="G26" s="7"/>
      <c r="H26" s="7"/>
      <c r="I26" s="9"/>
      <c r="J26" s="9"/>
      <c r="K26" s="9"/>
    </row>
    <row r="27" spans="1:19" ht="15.75" customHeight="1">
      <c r="A27" s="8"/>
      <c r="B27" s="7"/>
      <c r="C27" s="7"/>
      <c r="D27" s="7"/>
      <c r="E27" s="7"/>
      <c r="F27" s="7"/>
      <c r="G27" s="7"/>
      <c r="H27" s="7"/>
      <c r="I27" s="9"/>
      <c r="J27" s="9"/>
      <c r="K27" s="9"/>
    </row>
    <row r="28" spans="1:19" ht="15.75" customHeight="1">
      <c r="A28" s="8"/>
      <c r="B28" s="7"/>
      <c r="C28" s="7"/>
      <c r="D28" s="7"/>
      <c r="E28" s="7"/>
      <c r="F28" s="7"/>
      <c r="G28" s="7"/>
      <c r="H28" s="7"/>
      <c r="I28" s="9"/>
      <c r="J28" s="9"/>
      <c r="K28" s="9"/>
    </row>
    <row r="29" spans="1:19" ht="15.75" customHeight="1">
      <c r="A29" s="8"/>
      <c r="B29" s="7"/>
      <c r="C29" s="7"/>
      <c r="D29" s="7"/>
      <c r="E29" s="7"/>
      <c r="F29" s="7"/>
      <c r="G29" s="7"/>
      <c r="H29" s="7"/>
      <c r="I29" s="9"/>
      <c r="J29" s="9"/>
      <c r="K29" s="9"/>
    </row>
    <row r="30" spans="1:19" ht="15.75" customHeight="1">
      <c r="A30" s="8"/>
      <c r="B30" s="7"/>
      <c r="C30" s="7"/>
      <c r="D30" s="7"/>
      <c r="E30" s="7"/>
      <c r="F30" s="7"/>
      <c r="G30" s="7"/>
      <c r="H30" s="7"/>
      <c r="I30" s="9"/>
      <c r="J30" s="9"/>
      <c r="K30" s="9"/>
    </row>
    <row r="31" spans="1:19" ht="15.75" customHeight="1">
      <c r="A31" s="7"/>
      <c r="B31" s="7"/>
      <c r="C31" s="7"/>
      <c r="D31" s="7"/>
      <c r="E31" s="7"/>
      <c r="F31" s="7"/>
      <c r="G31" s="7"/>
      <c r="H31" s="7"/>
      <c r="I31" s="9"/>
      <c r="J31" s="9"/>
      <c r="K31" s="9"/>
    </row>
    <row r="32" spans="1:19" ht="15.75" customHeight="1">
      <c r="A32" s="7"/>
      <c r="B32" s="7"/>
      <c r="C32" s="7"/>
      <c r="D32" s="7"/>
      <c r="E32" s="7"/>
      <c r="F32" s="7"/>
      <c r="G32" s="7"/>
      <c r="H32" s="7"/>
      <c r="I32" s="6"/>
      <c r="J32" s="9"/>
      <c r="K32" s="9"/>
    </row>
    <row r="33" spans="9:9" ht="15.75" customHeight="1">
      <c r="I33" s="10"/>
    </row>
    <row r="34" spans="9:9" ht="15.75" customHeight="1"/>
    <row r="35" spans="9:9" ht="15.75" customHeight="1"/>
    <row r="36" spans="9:9" ht="15.75" customHeight="1"/>
    <row r="37" spans="9:9" ht="15.75" customHeight="1"/>
    <row r="38" spans="9:9" ht="15.75" customHeight="1"/>
    <row r="39" spans="9:9" ht="15.75" customHeight="1"/>
    <row r="40" spans="9:9" ht="15.75" customHeight="1"/>
    <row r="41" spans="9:9" ht="15.75" customHeight="1"/>
    <row r="42" spans="9:9" ht="15.75" customHeight="1"/>
    <row r="43" spans="9:9" ht="15.75" customHeight="1"/>
    <row r="44" spans="9:9" ht="15.75" customHeight="1"/>
    <row r="45" spans="9:9" ht="15.75" customHeight="1"/>
    <row r="46" spans="9:9" ht="15.75" customHeight="1"/>
    <row r="47" spans="9:9" ht="15.75" customHeight="1"/>
    <row r="48" spans="9:9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7"/>
      <c r="O55" s="7"/>
      <c r="P55" s="7"/>
      <c r="Q55" s="7"/>
      <c r="R55" s="7"/>
      <c r="S55" s="7"/>
    </row>
    <row r="56" spans="14:19" ht="15.75" customHeight="1">
      <c r="N56" s="22"/>
      <c r="O56" s="22"/>
      <c r="P56" s="22"/>
      <c r="Q56" s="22"/>
      <c r="R56" s="22"/>
      <c r="S56" s="2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O5:O6"/>
    <mergeCell ref="N10:P10"/>
    <mergeCell ref="Q10:S10"/>
    <mergeCell ref="Q5:Q6"/>
    <mergeCell ref="R5:R6"/>
    <mergeCell ref="S5:S6"/>
    <mergeCell ref="R7:R8"/>
    <mergeCell ref="S7:S8"/>
    <mergeCell ref="N9:S9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>
  <sheetPr codeName="Лист13"/>
  <dimension ref="A1:S1000"/>
  <sheetViews>
    <sheetView workbookViewId="0">
      <selection activeCell="I11" sqref="I11"/>
    </sheetView>
  </sheetViews>
  <sheetFormatPr defaultColWidth="14.42578125" defaultRowHeight="15" customHeight="1"/>
  <cols>
    <col min="1" max="1" width="10.7109375" customWidth="1"/>
    <col min="2" max="8" width="8.7109375" customWidth="1"/>
    <col min="9" max="9" width="14" customWidth="1"/>
    <col min="10" max="10" width="15.5703125" customWidth="1"/>
    <col min="11" max="11" width="12.85546875" customWidth="1"/>
    <col min="12" max="13" width="8.7109375" customWidth="1"/>
    <col min="14" max="14" width="12" customWidth="1"/>
    <col min="15" max="15" width="11.5703125" customWidth="1"/>
    <col min="16" max="16" width="13.5703125" customWidth="1"/>
    <col min="17" max="17" width="12" customWidth="1"/>
    <col min="18" max="18" width="10.42578125" customWidth="1"/>
    <col min="19" max="19" width="12.7109375" customWidth="1"/>
    <col min="20" max="26" width="8.7109375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180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36</v>
      </c>
      <c r="B4" s="2" t="s">
        <v>38</v>
      </c>
      <c r="C4" s="500">
        <f>AVERAGEA(I7:I20)</f>
        <v>0.88772736922937501</v>
      </c>
      <c r="D4" s="501"/>
      <c r="E4" s="500">
        <f>AVERAGEA(J7:J69)</f>
        <v>15.567902224423671</v>
      </c>
      <c r="F4" s="501"/>
      <c r="G4" s="500">
        <f>AVERAGEA(K7:K50)</f>
        <v>2.4625301764160672</v>
      </c>
      <c r="H4" s="501"/>
      <c r="I4" s="3">
        <f>C4*K2</f>
        <v>159.79092646128751</v>
      </c>
      <c r="J4" s="3">
        <f>I4*E4</f>
        <v>2487.6095194993973</v>
      </c>
      <c r="K4" s="3">
        <f>K2*G4</f>
        <v>443.25543175489207</v>
      </c>
    </row>
    <row r="5" spans="1:19" ht="15" customHeight="1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  <c r="N6" s="492"/>
      <c r="O6" s="492"/>
      <c r="P6" s="492"/>
      <c r="Q6" s="492"/>
      <c r="R6" s="492"/>
      <c r="S6" s="492"/>
    </row>
    <row r="7" spans="1:19" ht="15.75">
      <c r="A7" s="28">
        <v>46205</v>
      </c>
      <c r="B7" s="29">
        <v>1410</v>
      </c>
      <c r="C7" s="29" t="s">
        <v>61</v>
      </c>
      <c r="D7" s="29">
        <v>170</v>
      </c>
      <c r="E7" s="29">
        <v>18</v>
      </c>
      <c r="F7" s="29">
        <v>166</v>
      </c>
      <c r="G7" s="29">
        <v>2490</v>
      </c>
      <c r="H7" s="29">
        <v>443</v>
      </c>
      <c r="I7" s="25">
        <f t="shared" ref="I7:I11" si="0">F7/(D7+E7)</f>
        <v>0.88297872340425532</v>
      </c>
      <c r="J7" s="25">
        <f t="shared" ref="J7:J11" si="1">G7/F7</f>
        <v>15</v>
      </c>
      <c r="K7" s="25">
        <f t="shared" ref="K7:K11" si="2">H7/(D7+E7)</f>
        <v>2.3563829787234041</v>
      </c>
      <c r="N7" s="13" t="s">
        <v>49</v>
      </c>
      <c r="O7" s="14">
        <f>K2</f>
        <v>180</v>
      </c>
      <c r="P7" s="15">
        <f>I4</f>
        <v>159.79092646128751</v>
      </c>
      <c r="Q7" s="15">
        <f>J4</f>
        <v>2487.6095194993973</v>
      </c>
      <c r="R7" s="493">
        <f>Q7/P7</f>
        <v>15.567902224423673</v>
      </c>
      <c r="S7" s="493">
        <f>P7/O7</f>
        <v>0.88772736922937512</v>
      </c>
    </row>
    <row r="8" spans="1:19" ht="15.75">
      <c r="A8" s="24">
        <v>46209</v>
      </c>
      <c r="B8" s="23">
        <v>1410</v>
      </c>
      <c r="C8" s="23" t="s">
        <v>61</v>
      </c>
      <c r="D8" s="23">
        <v>173</v>
      </c>
      <c r="E8" s="23">
        <v>14</v>
      </c>
      <c r="F8" s="23">
        <v>166</v>
      </c>
      <c r="G8" s="23">
        <v>2603</v>
      </c>
      <c r="H8" s="23">
        <v>433</v>
      </c>
      <c r="I8" s="25">
        <f t="shared" si="0"/>
        <v>0.88770053475935828</v>
      </c>
      <c r="J8" s="25">
        <f t="shared" si="1"/>
        <v>15.680722891566266</v>
      </c>
      <c r="K8" s="25">
        <f t="shared" si="2"/>
        <v>2.3155080213903743</v>
      </c>
      <c r="N8" s="13" t="s">
        <v>50</v>
      </c>
      <c r="O8" s="14">
        <f>O7</f>
        <v>180</v>
      </c>
      <c r="P8" s="16">
        <f>O8*S7</f>
        <v>159.79092646128751</v>
      </c>
      <c r="Q8" s="16">
        <f>P8*R7</f>
        <v>2487.6095194993973</v>
      </c>
      <c r="R8" s="492"/>
      <c r="S8" s="492"/>
    </row>
    <row r="9" spans="1:19">
      <c r="A9" s="24">
        <v>46212</v>
      </c>
      <c r="B9" s="23">
        <v>1410</v>
      </c>
      <c r="C9" s="23" t="s">
        <v>61</v>
      </c>
      <c r="D9" s="23">
        <v>192</v>
      </c>
      <c r="E9" s="23">
        <v>13</v>
      </c>
      <c r="F9" s="23">
        <v>181</v>
      </c>
      <c r="G9" s="23">
        <v>2847</v>
      </c>
      <c r="H9" s="23">
        <v>512</v>
      </c>
      <c r="I9" s="25">
        <f t="shared" si="0"/>
        <v>0.88292682926829269</v>
      </c>
      <c r="J9" s="25">
        <f t="shared" si="1"/>
        <v>15.729281767955801</v>
      </c>
      <c r="K9" s="25">
        <f t="shared" si="2"/>
        <v>2.4975609756097561</v>
      </c>
      <c r="N9" s="494" t="s">
        <v>51</v>
      </c>
      <c r="O9" s="495"/>
      <c r="P9" s="495"/>
      <c r="Q9" s="495"/>
      <c r="R9" s="495"/>
      <c r="S9" s="496"/>
    </row>
    <row r="10" spans="1:19">
      <c r="A10" s="24">
        <v>46216</v>
      </c>
      <c r="B10" s="23">
        <v>1410</v>
      </c>
      <c r="C10" s="23" t="s">
        <v>61</v>
      </c>
      <c r="D10" s="23">
        <v>199</v>
      </c>
      <c r="E10" s="23">
        <v>10</v>
      </c>
      <c r="F10" s="23">
        <v>179</v>
      </c>
      <c r="G10" s="23">
        <v>2764</v>
      </c>
      <c r="H10" s="23">
        <v>642</v>
      </c>
      <c r="I10" s="25">
        <f t="shared" si="0"/>
        <v>0.8564593301435407</v>
      </c>
      <c r="J10" s="25">
        <f t="shared" si="1"/>
        <v>15.441340782122905</v>
      </c>
      <c r="K10" s="25">
        <f t="shared" si="2"/>
        <v>3.0717703349282295</v>
      </c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24">
        <v>46219</v>
      </c>
      <c r="B11" s="23">
        <v>1410</v>
      </c>
      <c r="C11" s="23" t="s">
        <v>62</v>
      </c>
      <c r="D11" s="23">
        <v>163</v>
      </c>
      <c r="E11" s="23">
        <v>19</v>
      </c>
      <c r="F11" s="23">
        <v>169</v>
      </c>
      <c r="G11" s="23">
        <v>2702</v>
      </c>
      <c r="H11" s="23">
        <v>377</v>
      </c>
      <c r="I11" s="25">
        <f t="shared" si="0"/>
        <v>0.9285714285714286</v>
      </c>
      <c r="J11" s="25">
        <f t="shared" si="1"/>
        <v>15.988165680473372</v>
      </c>
      <c r="K11" s="25">
        <f t="shared" si="2"/>
        <v>2.0714285714285716</v>
      </c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24"/>
      <c r="B12" s="23"/>
      <c r="C12" s="23"/>
      <c r="D12" s="23"/>
      <c r="E12" s="23"/>
      <c r="F12" s="23"/>
      <c r="G12" s="23"/>
      <c r="H12" s="23"/>
      <c r="I12" s="25"/>
      <c r="J12" s="25"/>
      <c r="K12" s="25"/>
      <c r="N12" s="17">
        <v>1</v>
      </c>
      <c r="O12" s="18">
        <v>0</v>
      </c>
      <c r="P12" s="19">
        <f>O12*R7</f>
        <v>0</v>
      </c>
      <c r="Q12" s="17">
        <v>3</v>
      </c>
      <c r="R12" s="18">
        <v>40</v>
      </c>
      <c r="S12" s="19">
        <f>R12*R7</f>
        <v>622.71608897694693</v>
      </c>
    </row>
    <row r="13" spans="1:19" ht="15.75">
      <c r="A13" s="24"/>
      <c r="B13" s="23"/>
      <c r="C13" s="23"/>
      <c r="D13" s="23"/>
      <c r="E13" s="23"/>
      <c r="F13" s="23"/>
      <c r="G13" s="23"/>
      <c r="H13" s="23"/>
      <c r="I13" s="25"/>
      <c r="J13" s="25"/>
      <c r="K13" s="25"/>
      <c r="N13" s="17">
        <v>2</v>
      </c>
      <c r="O13" s="18">
        <v>0</v>
      </c>
      <c r="P13" s="19">
        <f>O13*R7</f>
        <v>0</v>
      </c>
      <c r="Q13" s="17">
        <v>4</v>
      </c>
      <c r="R13" s="18">
        <v>130</v>
      </c>
      <c r="S13" s="19">
        <f>R7*R13</f>
        <v>2023.8272891750773</v>
      </c>
    </row>
    <row r="14" spans="1:19" ht="15.75">
      <c r="A14" s="24"/>
      <c r="B14" s="23"/>
      <c r="C14" s="23"/>
      <c r="D14" s="23"/>
      <c r="E14" s="23"/>
      <c r="F14" s="23"/>
      <c r="G14" s="23"/>
      <c r="H14" s="23"/>
      <c r="I14" s="25"/>
      <c r="J14" s="25"/>
      <c r="K14" s="25"/>
      <c r="N14" s="17">
        <v>3</v>
      </c>
      <c r="O14" s="18">
        <v>1</v>
      </c>
      <c r="P14" s="19">
        <f>R7*O14</f>
        <v>15.567902224423673</v>
      </c>
      <c r="Q14" s="17">
        <v>5</v>
      </c>
      <c r="R14" s="18">
        <v>0</v>
      </c>
      <c r="S14" s="19">
        <f>R14*R7</f>
        <v>0</v>
      </c>
    </row>
    <row r="15" spans="1:19" ht="15.75">
      <c r="A15" s="24"/>
      <c r="B15" s="23"/>
      <c r="C15" s="23"/>
      <c r="D15" s="23"/>
      <c r="E15" s="23"/>
      <c r="F15" s="23"/>
      <c r="G15" s="23"/>
      <c r="H15" s="23"/>
      <c r="I15" s="25"/>
      <c r="J15" s="25"/>
      <c r="K15" s="25"/>
      <c r="N15" s="17">
        <v>4</v>
      </c>
      <c r="O15" s="18">
        <v>0</v>
      </c>
      <c r="P15" s="19">
        <f>R7*O15</f>
        <v>0</v>
      </c>
      <c r="Q15" s="17">
        <v>1</v>
      </c>
      <c r="R15" s="18">
        <v>0</v>
      </c>
      <c r="S15" s="19">
        <f>R7*R15</f>
        <v>0</v>
      </c>
    </row>
    <row r="16" spans="1:19" ht="15.7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N16" s="17">
        <v>5</v>
      </c>
      <c r="O16" s="18">
        <v>0</v>
      </c>
      <c r="P16" s="19">
        <f>R7*O16</f>
        <v>0</v>
      </c>
      <c r="Q16" s="17"/>
      <c r="R16" s="18">
        <v>0</v>
      </c>
      <c r="S16" s="19">
        <f>R7*R16</f>
        <v>0</v>
      </c>
    </row>
    <row r="17" spans="14:19" ht="15.75">
      <c r="N17" s="17">
        <v>6</v>
      </c>
      <c r="O17" s="18">
        <v>0</v>
      </c>
      <c r="P17" s="19">
        <f>R7*O17</f>
        <v>0</v>
      </c>
      <c r="Q17" s="17"/>
      <c r="R17" s="18">
        <v>0</v>
      </c>
      <c r="S17" s="19">
        <f>R7*R17</f>
        <v>0</v>
      </c>
    </row>
    <row r="18" spans="14:19" ht="15.75">
      <c r="N18" s="17">
        <v>7</v>
      </c>
      <c r="O18" s="18">
        <v>0</v>
      </c>
      <c r="P18" s="19">
        <f>R7*O18</f>
        <v>0</v>
      </c>
      <c r="Q18" s="17"/>
      <c r="R18" s="18">
        <v>0</v>
      </c>
      <c r="S18" s="19">
        <f>R7*R18</f>
        <v>0</v>
      </c>
    </row>
    <row r="19" spans="14:19" ht="15.75">
      <c r="N19" s="17">
        <v>8</v>
      </c>
      <c r="O19" s="18">
        <v>30</v>
      </c>
      <c r="P19" s="19">
        <f>R7*O19</f>
        <v>467.03706673271017</v>
      </c>
      <c r="Q19" s="17"/>
      <c r="R19" s="18">
        <v>0</v>
      </c>
      <c r="S19" s="19">
        <f>R7*R19</f>
        <v>0</v>
      </c>
    </row>
    <row r="20" spans="14:19" ht="15.75">
      <c r="N20" s="17">
        <v>9</v>
      </c>
      <c r="O20" s="18">
        <v>50</v>
      </c>
      <c r="P20" s="19">
        <f>R7*O20</f>
        <v>778.39511122118358</v>
      </c>
      <c r="Q20" s="17"/>
      <c r="R20" s="18">
        <v>0</v>
      </c>
      <c r="S20" s="19">
        <f>R7*R20</f>
        <v>0</v>
      </c>
    </row>
    <row r="21" spans="14:19" ht="15.75" customHeight="1">
      <c r="N21" s="20" t="s">
        <v>53</v>
      </c>
      <c r="O21" s="18">
        <v>50</v>
      </c>
      <c r="P21" s="19">
        <f>R7*O21</f>
        <v>778.39511122118358</v>
      </c>
      <c r="Q21" s="17"/>
      <c r="R21" s="18"/>
      <c r="S21" s="19">
        <f>R7*R21</f>
        <v>0</v>
      </c>
    </row>
    <row r="22" spans="14:19" ht="15.75" customHeight="1">
      <c r="N22" s="13" t="s">
        <v>59</v>
      </c>
      <c r="O22" s="21">
        <f>P8-O12-O13-O14-O15-O16-O17-O18-O19-O20-O21</f>
        <v>28.790926461287512</v>
      </c>
      <c r="P22" s="21">
        <f>Q8-P12-P13-P14-P15-P16-P17-P18-P19-P20-P21</f>
        <v>448.21432809989653</v>
      </c>
      <c r="Q22" s="13" t="s">
        <v>59</v>
      </c>
      <c r="R22" s="21">
        <f>P8-R12-R13-R14-R15-R16-R17-R18-R19-R20-R21</f>
        <v>-10.209073538712488</v>
      </c>
      <c r="S22" s="21">
        <f>Q8-S12-S13-S14-S15-S16-S17-S18-S19-S20-S21</f>
        <v>-158.93385865262712</v>
      </c>
    </row>
    <row r="23" spans="14:19" ht="15.75" customHeight="1">
      <c r="N23" s="13" t="s">
        <v>60</v>
      </c>
      <c r="O23" s="16">
        <f>O12+O13+O14+O15+O16+O17+O18+O19+O20+O21</f>
        <v>131</v>
      </c>
      <c r="P23" s="16">
        <f>P12+P13+P14+P15+P16+P17+P18+P19+P20+P21</f>
        <v>2039.3951913995011</v>
      </c>
      <c r="Q23" s="13" t="s">
        <v>60</v>
      </c>
      <c r="R23" s="16">
        <f>R12+R13+R14+R15+R16+R17+R18+R19+R20+R21</f>
        <v>170</v>
      </c>
      <c r="S23" s="16">
        <f>S12+S13+S14+S15+S16+S17+S18+S19+S20+S21</f>
        <v>2646.5433781520242</v>
      </c>
    </row>
    <row r="24" spans="14:19" ht="15.75" customHeight="1"/>
    <row r="25" spans="14:19" ht="15.75" customHeight="1"/>
    <row r="26" spans="14:19" ht="15.75" customHeight="1"/>
    <row r="27" spans="14:19" ht="15.75" customHeight="1"/>
    <row r="28" spans="14:19" ht="15.75" customHeight="1"/>
    <row r="29" spans="14:19" ht="15.75" customHeight="1"/>
    <row r="30" spans="14:19" ht="15.75" customHeight="1"/>
    <row r="31" spans="14:19" ht="15.75" customHeight="1"/>
    <row r="32" spans="14:1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7"/>
      <c r="O55" s="7"/>
      <c r="P55" s="7"/>
      <c r="Q55" s="7"/>
      <c r="R55" s="7"/>
      <c r="S55" s="7"/>
    </row>
    <row r="56" spans="14:19" ht="15.75" customHeight="1">
      <c r="N56" s="22"/>
      <c r="O56" s="22"/>
      <c r="P56" s="22"/>
      <c r="Q56" s="22"/>
      <c r="R56" s="22"/>
      <c r="S56" s="2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O5:O6"/>
    <mergeCell ref="N10:P10"/>
    <mergeCell ref="Q10:S10"/>
    <mergeCell ref="Q5:Q6"/>
    <mergeCell ref="R5:R6"/>
    <mergeCell ref="S5:S6"/>
    <mergeCell ref="R7:R8"/>
    <mergeCell ref="S7:S8"/>
    <mergeCell ref="N9:S9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sheetPr codeName="Лист24"/>
  <dimension ref="A1:S23"/>
  <sheetViews>
    <sheetView workbookViewId="0">
      <selection activeCell="U38" sqref="U38"/>
    </sheetView>
  </sheetViews>
  <sheetFormatPr defaultRowHeight="15"/>
  <cols>
    <col min="1" max="1" width="10.140625" bestFit="1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180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/>
    </row>
    <row r="4" spans="1:19">
      <c r="A4" s="2" t="s">
        <v>36</v>
      </c>
      <c r="B4" s="2" t="s">
        <v>11</v>
      </c>
      <c r="C4" s="500">
        <f>AVERAGEA(I7:I18)</f>
        <v>0.86125282793093183</v>
      </c>
      <c r="D4" s="501"/>
      <c r="E4" s="500">
        <f>AVERAGEA(J7:J18)</f>
        <v>15.223448773448773</v>
      </c>
      <c r="F4" s="501"/>
      <c r="G4" s="500">
        <f>AVERAGEA(K7:K18)</f>
        <v>1.981984844235434</v>
      </c>
      <c r="H4" s="501"/>
      <c r="I4" s="3">
        <f>C4*K2</f>
        <v>155.02550902756772</v>
      </c>
      <c r="J4" s="3">
        <f>I4*E4</f>
        <v>2360.0228952589973</v>
      </c>
      <c r="K4" s="3">
        <f>K2*G4</f>
        <v>356.75727196237813</v>
      </c>
    </row>
    <row r="5" spans="1:19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2"/>
      <c r="B6" s="492"/>
      <c r="C6" s="492"/>
      <c r="D6" s="492"/>
      <c r="E6" s="492"/>
      <c r="F6" s="4" t="s">
        <v>20</v>
      </c>
      <c r="G6" s="5" t="s">
        <v>21</v>
      </c>
      <c r="H6" s="492"/>
      <c r="I6" s="492"/>
      <c r="J6" s="492"/>
      <c r="K6" s="492"/>
      <c r="N6" s="492"/>
      <c r="O6" s="492"/>
      <c r="P6" s="492"/>
      <c r="Q6" s="492"/>
      <c r="R6" s="492"/>
      <c r="S6" s="492"/>
    </row>
    <row r="7" spans="1:19" ht="15.75">
      <c r="A7" s="30">
        <v>45418</v>
      </c>
      <c r="B7" s="31">
        <v>1434</v>
      </c>
      <c r="C7" s="31" t="s">
        <v>62</v>
      </c>
      <c r="D7" s="31">
        <v>119</v>
      </c>
      <c r="E7" s="31">
        <v>5</v>
      </c>
      <c r="F7" s="31">
        <v>110</v>
      </c>
      <c r="G7" s="31">
        <v>1717</v>
      </c>
      <c r="H7" s="31">
        <v>469</v>
      </c>
      <c r="I7" s="32">
        <f>F7/(D7+E7)</f>
        <v>0.88709677419354838</v>
      </c>
      <c r="J7" s="32">
        <f>G7/F7</f>
        <v>15.609090909090909</v>
      </c>
      <c r="K7" s="32">
        <f>H7/(D7+E7)</f>
        <v>3.782258064516129</v>
      </c>
      <c r="N7" s="13" t="s">
        <v>49</v>
      </c>
      <c r="O7" s="14">
        <f>K2</f>
        <v>180</v>
      </c>
      <c r="P7" s="15">
        <f>I4</f>
        <v>155.02550902756772</v>
      </c>
      <c r="Q7" s="15">
        <f>J4</f>
        <v>2360.0228952589973</v>
      </c>
      <c r="R7" s="493">
        <f>Q7/P7</f>
        <v>15.223448773448771</v>
      </c>
      <c r="S7" s="493">
        <f>P7/O7</f>
        <v>0.86125282793093183</v>
      </c>
    </row>
    <row r="8" spans="1:19" ht="15.75">
      <c r="A8" s="24">
        <v>45425</v>
      </c>
      <c r="B8" s="23">
        <v>1434</v>
      </c>
      <c r="C8" s="23" t="s">
        <v>62</v>
      </c>
      <c r="D8" s="23">
        <v>164</v>
      </c>
      <c r="E8" s="23">
        <v>7</v>
      </c>
      <c r="F8" s="23">
        <v>154</v>
      </c>
      <c r="G8" s="23">
        <v>2438</v>
      </c>
      <c r="H8" s="23">
        <v>320</v>
      </c>
      <c r="I8" s="32">
        <f>F8/(D8+E8)</f>
        <v>0.90058479532163738</v>
      </c>
      <c r="J8" s="32">
        <f>G8/F8</f>
        <v>15.831168831168831</v>
      </c>
      <c r="K8" s="32">
        <f>H8/(D8+E8)</f>
        <v>1.871345029239766</v>
      </c>
      <c r="N8" s="13" t="s">
        <v>50</v>
      </c>
      <c r="O8" s="14">
        <f>O7</f>
        <v>180</v>
      </c>
      <c r="P8" s="16">
        <f>O8*S7</f>
        <v>155.02550902756772</v>
      </c>
      <c r="Q8" s="16">
        <f>P8*R7</f>
        <v>2360.0228952589973</v>
      </c>
      <c r="R8" s="492"/>
      <c r="S8" s="492"/>
    </row>
    <row r="9" spans="1:19">
      <c r="A9" s="24">
        <v>45432</v>
      </c>
      <c r="B9" s="23">
        <v>1434</v>
      </c>
      <c r="C9" s="23" t="s">
        <v>62</v>
      </c>
      <c r="D9" s="23">
        <v>105</v>
      </c>
      <c r="E9" s="23">
        <v>8</v>
      </c>
      <c r="F9" s="23">
        <v>90</v>
      </c>
      <c r="G9" s="23">
        <v>1209</v>
      </c>
      <c r="H9" s="23">
        <v>257</v>
      </c>
      <c r="I9" s="32">
        <f>F9/(D9+E9)</f>
        <v>0.79646017699115046</v>
      </c>
      <c r="J9" s="32">
        <f>G9/F9</f>
        <v>13.433333333333334</v>
      </c>
      <c r="K9" s="32">
        <f>H9/(D9+E9)</f>
        <v>2.2743362831858409</v>
      </c>
      <c r="N9" s="494" t="s">
        <v>51</v>
      </c>
      <c r="O9" s="495"/>
      <c r="P9" s="495"/>
      <c r="Q9" s="495"/>
      <c r="R9" s="495"/>
      <c r="S9" s="496"/>
    </row>
    <row r="10" spans="1:19">
      <c r="A10" s="24">
        <v>45439</v>
      </c>
      <c r="B10" s="23">
        <v>1434</v>
      </c>
      <c r="C10" s="23" t="s">
        <v>62</v>
      </c>
      <c r="D10" s="23">
        <v>100</v>
      </c>
      <c r="E10" s="23">
        <v>15</v>
      </c>
      <c r="F10" s="23">
        <v>99</v>
      </c>
      <c r="G10" s="23">
        <v>1586</v>
      </c>
      <c r="H10" s="23">
        <v>0</v>
      </c>
      <c r="I10" s="32">
        <f>F10/(D10+E10)</f>
        <v>0.86086956521739133</v>
      </c>
      <c r="J10" s="32">
        <f>G10/F10</f>
        <v>16.020202020202021</v>
      </c>
      <c r="K10" s="32">
        <f>H10/(D10+E10)</f>
        <v>0</v>
      </c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N12" s="17">
        <v>1</v>
      </c>
      <c r="O12" s="18">
        <v>0</v>
      </c>
      <c r="P12" s="19">
        <f>O12*R7</f>
        <v>0</v>
      </c>
      <c r="Q12" s="17">
        <v>3</v>
      </c>
      <c r="R12" s="18">
        <v>40</v>
      </c>
      <c r="S12" s="19">
        <f>R12*R7</f>
        <v>608.93795093795086</v>
      </c>
    </row>
    <row r="13" spans="1:19" ht="15.7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N13" s="17">
        <v>2</v>
      </c>
      <c r="O13" s="18">
        <v>0</v>
      </c>
      <c r="P13" s="19">
        <f>O13*R7</f>
        <v>0</v>
      </c>
      <c r="Q13" s="17">
        <v>4</v>
      </c>
      <c r="R13" s="18">
        <v>127</v>
      </c>
      <c r="S13" s="19">
        <f>R7*R13</f>
        <v>1933.3779942279939</v>
      </c>
    </row>
    <row r="14" spans="1:19" ht="15.7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N14" s="17">
        <v>3</v>
      </c>
      <c r="O14" s="18">
        <v>1</v>
      </c>
      <c r="P14" s="19">
        <f>R7*O14</f>
        <v>15.223448773448771</v>
      </c>
      <c r="Q14" s="17">
        <v>5</v>
      </c>
      <c r="R14" s="18">
        <v>0</v>
      </c>
      <c r="S14" s="19">
        <f>R14*R7</f>
        <v>0</v>
      </c>
    </row>
    <row r="15" spans="1:19" ht="15.7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N15" s="17">
        <v>4</v>
      </c>
      <c r="O15" s="18">
        <v>0</v>
      </c>
      <c r="P15" s="19">
        <f>R7*O15</f>
        <v>0</v>
      </c>
      <c r="Q15" s="17">
        <v>1</v>
      </c>
      <c r="R15" s="18">
        <v>0</v>
      </c>
      <c r="S15" s="19">
        <f>R7*R15</f>
        <v>0</v>
      </c>
    </row>
    <row r="16" spans="1:19" ht="15.7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N16" s="17">
        <v>5</v>
      </c>
      <c r="O16" s="18">
        <v>0</v>
      </c>
      <c r="P16" s="19">
        <f>R7*O16</f>
        <v>0</v>
      </c>
      <c r="Q16" s="17"/>
      <c r="R16" s="18">
        <v>0</v>
      </c>
      <c r="S16" s="19">
        <f>R7*R16</f>
        <v>0</v>
      </c>
    </row>
    <row r="17" spans="1:19" ht="15.7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N17" s="17">
        <v>6</v>
      </c>
      <c r="O17" s="18">
        <v>0</v>
      </c>
      <c r="P17" s="19">
        <f>R7*O17</f>
        <v>0</v>
      </c>
      <c r="Q17" s="17"/>
      <c r="R17" s="18">
        <v>0</v>
      </c>
      <c r="S17" s="19">
        <f>R7*R17</f>
        <v>0</v>
      </c>
    </row>
    <row r="18" spans="1:19" ht="15.7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N18" s="17">
        <v>7</v>
      </c>
      <c r="O18" s="18">
        <v>0</v>
      </c>
      <c r="P18" s="19">
        <f>R7*O18</f>
        <v>0</v>
      </c>
      <c r="Q18" s="17"/>
      <c r="R18" s="18">
        <v>0</v>
      </c>
      <c r="S18" s="19">
        <f>R7*R18</f>
        <v>0</v>
      </c>
    </row>
    <row r="19" spans="1:19" ht="15.7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N19" s="17">
        <v>8</v>
      </c>
      <c r="O19" s="18">
        <v>30</v>
      </c>
      <c r="P19" s="19">
        <f>R7*O19</f>
        <v>456.70346320346312</v>
      </c>
      <c r="Q19" s="17"/>
      <c r="R19" s="18">
        <v>0</v>
      </c>
      <c r="S19" s="19">
        <f>R7*R19</f>
        <v>0</v>
      </c>
    </row>
    <row r="20" spans="1:19" ht="15.7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N20" s="17">
        <v>9</v>
      </c>
      <c r="O20" s="18">
        <v>50</v>
      </c>
      <c r="P20" s="19">
        <f>R7*O20</f>
        <v>761.1724386724386</v>
      </c>
      <c r="Q20" s="17"/>
      <c r="R20" s="18">
        <v>0</v>
      </c>
      <c r="S20" s="19">
        <f>R7*R20</f>
        <v>0</v>
      </c>
    </row>
    <row r="21" spans="1:19" ht="15.75">
      <c r="N21" s="20" t="s">
        <v>53</v>
      </c>
      <c r="O21" s="18">
        <v>50</v>
      </c>
      <c r="P21" s="19">
        <f>R7*O21</f>
        <v>761.1724386724386</v>
      </c>
      <c r="Q21" s="17"/>
      <c r="R21" s="18"/>
      <c r="S21" s="19">
        <f>R7*R21</f>
        <v>0</v>
      </c>
    </row>
    <row r="22" spans="1:19" ht="15.75">
      <c r="N22" s="13" t="s">
        <v>59</v>
      </c>
      <c r="O22" s="21">
        <f>P8-O12-O13-O14-O15-O16-O17-O18-O19-O20-O21</f>
        <v>24.025509027567722</v>
      </c>
      <c r="P22" s="21">
        <f>Q8-P12-P13-P14-P15-P16-P17-P18-P19-P20-P21</f>
        <v>365.75110593720842</v>
      </c>
      <c r="Q22" s="13" t="s">
        <v>59</v>
      </c>
      <c r="R22" s="21">
        <f>P8-R12-R13-R14-R15-R16-R17-R18-R19-R20-R21</f>
        <v>-11.974490972432278</v>
      </c>
      <c r="S22" s="21">
        <f>Q8-S12-S13-S14-S15-S16-S17-S18-S19-S20-S21</f>
        <v>-182.29304990694754</v>
      </c>
    </row>
    <row r="23" spans="1:19">
      <c r="N23" s="13" t="s">
        <v>60</v>
      </c>
      <c r="O23" s="16">
        <f>O12+O13+O14+O15+O16+O17+O18+O19+O20+O21</f>
        <v>131</v>
      </c>
      <c r="P23" s="16">
        <f>P12+P13+P14+P15+P16+P17+P18+P19+P20+P21</f>
        <v>1994.2717893217891</v>
      </c>
      <c r="Q23" s="13" t="s">
        <v>60</v>
      </c>
      <c r="R23" s="16">
        <f>R12+R13+R14+R15+R16+R17+R18+R19+R20+R21</f>
        <v>167</v>
      </c>
      <c r="S23" s="16">
        <f>S12+S13+S14+S15+S16+S17+S18+S19+S20+S21</f>
        <v>2542.3159451659449</v>
      </c>
    </row>
  </sheetData>
  <sheetProtection password="CC6F" sheet="1" objects="1" scenarios="1"/>
  <mergeCells count="34">
    <mergeCell ref="S5:S6"/>
    <mergeCell ref="R7:R8"/>
    <mergeCell ref="S7:S8"/>
    <mergeCell ref="N9:S9"/>
    <mergeCell ref="N10:P10"/>
    <mergeCell ref="Q10:S10"/>
    <mergeCell ref="N5:N6"/>
    <mergeCell ref="O5:O6"/>
    <mergeCell ref="P5:P6"/>
    <mergeCell ref="Q5:Q6"/>
    <mergeCell ref="R5:R6"/>
    <mergeCell ref="I5:I6"/>
    <mergeCell ref="J5:J6"/>
    <mergeCell ref="K5:K6"/>
    <mergeCell ref="C4:D4"/>
    <mergeCell ref="E4:F4"/>
    <mergeCell ref="G4:H4"/>
    <mergeCell ref="F5:G5"/>
    <mergeCell ref="H5:H6"/>
    <mergeCell ref="A5:A6"/>
    <mergeCell ref="B5:B6"/>
    <mergeCell ref="C5:C6"/>
    <mergeCell ref="D5:D6"/>
    <mergeCell ref="E5:E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K27"/>
  <sheetViews>
    <sheetView workbookViewId="0">
      <selection activeCell="K7" sqref="K7:K8"/>
    </sheetView>
  </sheetViews>
  <sheetFormatPr defaultRowHeight="15"/>
  <cols>
    <col min="1" max="1" width="10.140625" bestFit="1" customWidth="1"/>
  </cols>
  <sheetData>
    <row r="1" spans="1:11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1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200</v>
      </c>
    </row>
    <row r="3" spans="1:11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1">
      <c r="A4" s="73" t="s">
        <v>132</v>
      </c>
      <c r="B4" s="73" t="s">
        <v>12</v>
      </c>
      <c r="C4" s="510">
        <f>AVERAGEA(I7:I44)</f>
        <v>0.76638058324104841</v>
      </c>
      <c r="D4" s="511"/>
      <c r="E4" s="510">
        <f>AVERAGEA(J7:J44)</f>
        <v>12.843582887700535</v>
      </c>
      <c r="F4" s="511"/>
      <c r="G4" s="510">
        <f>AVERAGEA(K7:K44)</f>
        <v>0</v>
      </c>
      <c r="H4" s="511"/>
      <c r="I4" s="74">
        <f>C4*K2</f>
        <v>153.27611664820969</v>
      </c>
      <c r="J4" s="74">
        <f>I4*E4</f>
        <v>1968.6145088761371</v>
      </c>
      <c r="K4" s="74">
        <f>K2*G4</f>
        <v>0</v>
      </c>
    </row>
    <row r="5" spans="1:1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</row>
    <row r="6" spans="1:11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</row>
    <row r="7" spans="1:11">
      <c r="A7" s="77">
        <v>46064</v>
      </c>
      <c r="B7" s="78">
        <v>558</v>
      </c>
      <c r="C7" s="78" t="s">
        <v>122</v>
      </c>
      <c r="D7" s="78">
        <v>443</v>
      </c>
      <c r="E7" s="78">
        <v>30</v>
      </c>
      <c r="F7" s="78">
        <v>374</v>
      </c>
      <c r="G7" s="78">
        <v>4610</v>
      </c>
      <c r="H7" s="78">
        <v>0</v>
      </c>
      <c r="I7" s="79">
        <f>F7/(D7+E7)</f>
        <v>0.79069767441860461</v>
      </c>
      <c r="J7" s="79">
        <f>G7/F7</f>
        <v>12.32620320855615</v>
      </c>
      <c r="K7" s="79">
        <f>H7/(D7+E7)</f>
        <v>0</v>
      </c>
    </row>
    <row r="8" spans="1:11">
      <c r="A8" s="80">
        <v>46074</v>
      </c>
      <c r="B8" s="256">
        <v>558</v>
      </c>
      <c r="C8" s="321" t="s">
        <v>122</v>
      </c>
      <c r="D8" s="81">
        <v>461</v>
      </c>
      <c r="E8" s="81">
        <v>43</v>
      </c>
      <c r="F8" s="81">
        <v>374</v>
      </c>
      <c r="G8" s="81">
        <v>4997</v>
      </c>
      <c r="H8" s="81">
        <v>0</v>
      </c>
      <c r="I8" s="79">
        <f>F8/(D8+E8)</f>
        <v>0.74206349206349209</v>
      </c>
      <c r="J8" s="79">
        <f>G8/F8</f>
        <v>13.36096256684492</v>
      </c>
      <c r="K8" s="79">
        <f>H8/(D8+E8)</f>
        <v>0</v>
      </c>
    </row>
    <row r="9" spans="1:11">
      <c r="A9" s="80"/>
      <c r="B9" s="258"/>
      <c r="C9" s="308"/>
      <c r="D9" s="81"/>
      <c r="E9" s="81"/>
      <c r="F9" s="81"/>
      <c r="G9" s="81"/>
      <c r="H9" s="81"/>
      <c r="I9" s="79"/>
      <c r="J9" s="79"/>
      <c r="K9" s="79"/>
    </row>
    <row r="10" spans="1:11">
      <c r="A10" s="80"/>
      <c r="B10" s="259"/>
      <c r="C10" s="314"/>
      <c r="D10" s="81"/>
      <c r="E10" s="81"/>
      <c r="F10" s="81"/>
      <c r="G10" s="81"/>
      <c r="H10" s="81"/>
      <c r="I10" s="79"/>
      <c r="J10" s="79"/>
      <c r="K10" s="79"/>
    </row>
    <row r="11" spans="1:11">
      <c r="A11" s="80"/>
      <c r="B11" s="261"/>
      <c r="C11" s="261"/>
      <c r="D11" s="81"/>
      <c r="E11" s="81"/>
      <c r="F11" s="81"/>
      <c r="G11" s="81"/>
      <c r="H11" s="81"/>
      <c r="I11" s="79"/>
      <c r="J11" s="79"/>
      <c r="K11" s="79"/>
    </row>
    <row r="12" spans="1:11">
      <c r="A12" s="80"/>
      <c r="B12" s="264"/>
      <c r="C12" s="264"/>
      <c r="D12" s="81"/>
      <c r="E12" s="81"/>
      <c r="F12" s="81"/>
      <c r="G12" s="81"/>
      <c r="H12" s="81"/>
      <c r="I12" s="79"/>
      <c r="J12" s="79"/>
      <c r="K12" s="79"/>
    </row>
    <row r="13" spans="1:11">
      <c r="A13" s="80"/>
      <c r="B13" s="266"/>
      <c r="C13" s="266"/>
      <c r="D13" s="81"/>
      <c r="E13" s="81"/>
      <c r="F13" s="81"/>
      <c r="G13" s="81"/>
      <c r="H13" s="81"/>
      <c r="I13" s="79"/>
      <c r="J13" s="79"/>
      <c r="K13" s="79"/>
    </row>
    <row r="14" spans="1:11">
      <c r="A14" s="80"/>
      <c r="B14" s="269"/>
      <c r="C14" s="269"/>
      <c r="D14" s="81"/>
      <c r="E14" s="81"/>
      <c r="F14" s="81"/>
      <c r="G14" s="81"/>
      <c r="H14" s="81"/>
      <c r="I14" s="79"/>
      <c r="J14" s="79"/>
      <c r="K14" s="79"/>
    </row>
    <row r="15" spans="1:11">
      <c r="A15" s="80"/>
      <c r="B15" s="241"/>
      <c r="C15" s="241"/>
      <c r="D15" s="81"/>
      <c r="E15" s="81"/>
      <c r="F15" s="81"/>
      <c r="G15" s="81"/>
      <c r="H15" s="81"/>
      <c r="I15" s="79"/>
      <c r="J15" s="79"/>
      <c r="K15" s="79"/>
    </row>
    <row r="16" spans="1:11">
      <c r="A16" s="80"/>
      <c r="B16" s="153"/>
      <c r="C16" s="170"/>
      <c r="D16" s="81"/>
      <c r="E16" s="81"/>
      <c r="F16" s="81"/>
      <c r="G16" s="81"/>
      <c r="H16" s="81"/>
      <c r="I16" s="79"/>
      <c r="J16" s="79"/>
      <c r="K16" s="79"/>
    </row>
    <row r="17" spans="1:11">
      <c r="A17" s="80"/>
      <c r="B17" s="81"/>
      <c r="C17" s="155"/>
      <c r="D17" s="81"/>
      <c r="E17" s="81"/>
      <c r="F17" s="81"/>
      <c r="G17" s="81"/>
      <c r="H17" s="81"/>
      <c r="I17" s="79"/>
      <c r="J17" s="79"/>
      <c r="K17" s="79"/>
    </row>
    <row r="18" spans="1:11">
      <c r="A18" s="80"/>
      <c r="B18" s="138"/>
      <c r="C18" s="155"/>
      <c r="D18" s="81"/>
      <c r="E18" s="81"/>
      <c r="F18" s="81"/>
      <c r="G18" s="81"/>
      <c r="H18" s="81"/>
      <c r="I18" s="79"/>
      <c r="J18" s="79"/>
      <c r="K18" s="79"/>
    </row>
    <row r="19" spans="1:11">
      <c r="A19" s="80"/>
      <c r="B19" s="81"/>
      <c r="C19" s="155"/>
      <c r="D19" s="81"/>
      <c r="E19" s="81"/>
      <c r="F19" s="81"/>
      <c r="G19" s="81"/>
      <c r="H19" s="81"/>
      <c r="I19" s="79"/>
      <c r="J19" s="79"/>
      <c r="K19" s="79"/>
    </row>
    <row r="20" spans="1:11">
      <c r="A20" s="80"/>
      <c r="B20" s="81"/>
      <c r="C20" s="157"/>
      <c r="D20" s="81"/>
      <c r="E20" s="81"/>
      <c r="F20" s="81"/>
      <c r="G20" s="81"/>
      <c r="H20" s="81"/>
      <c r="I20" s="79"/>
      <c r="J20" s="79"/>
      <c r="K20" s="79"/>
    </row>
    <row r="21" spans="1:11">
      <c r="A21" s="80"/>
      <c r="B21" s="157"/>
      <c r="C21" s="157"/>
      <c r="D21" s="81"/>
      <c r="E21" s="81"/>
      <c r="F21" s="81"/>
      <c r="G21" s="81"/>
      <c r="H21" s="81"/>
      <c r="I21" s="79"/>
      <c r="J21" s="79"/>
      <c r="K21" s="79"/>
    </row>
    <row r="22" spans="1:11">
      <c r="A22" s="80"/>
      <c r="B22" s="145"/>
      <c r="C22" s="158"/>
      <c r="D22" s="81"/>
      <c r="E22" s="81"/>
      <c r="F22" s="81"/>
      <c r="G22" s="81"/>
      <c r="H22" s="81"/>
      <c r="I22" s="79"/>
      <c r="J22" s="79"/>
      <c r="K22" s="79"/>
    </row>
    <row r="23" spans="1:11">
      <c r="A23" s="80"/>
      <c r="B23" s="130"/>
      <c r="C23" s="146"/>
      <c r="D23" s="81"/>
      <c r="E23" s="81"/>
      <c r="F23" s="81"/>
      <c r="G23" s="81"/>
      <c r="H23" s="81"/>
      <c r="I23" s="79"/>
      <c r="J23" s="79"/>
      <c r="K23" s="79"/>
    </row>
    <row r="24" spans="1:11">
      <c r="A24" s="80"/>
      <c r="B24" s="81"/>
      <c r="C24" s="148"/>
      <c r="D24" s="81"/>
      <c r="E24" s="81"/>
      <c r="F24" s="81"/>
      <c r="G24" s="81"/>
      <c r="H24" s="81"/>
      <c r="I24" s="79"/>
      <c r="J24" s="79"/>
      <c r="K24" s="79"/>
    </row>
    <row r="25" spans="1:1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</row>
    <row r="26" spans="1:1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</row>
    <row r="27" spans="1:1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</row>
  </sheetData>
  <sheetProtection password="CC6F" sheet="1" objects="1" scenarios="1"/>
  <mergeCells count="23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A5:A6"/>
    <mergeCell ref="B5:B6"/>
    <mergeCell ref="C5:C6"/>
    <mergeCell ref="D5:D6"/>
    <mergeCell ref="E5:E6"/>
    <mergeCell ref="I5:I6"/>
    <mergeCell ref="J5:J6"/>
    <mergeCell ref="K5:K6"/>
    <mergeCell ref="C4:D4"/>
    <mergeCell ref="E4:F4"/>
    <mergeCell ref="G4:H4"/>
    <mergeCell ref="F5:G5"/>
    <mergeCell ref="H5:H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sheetPr codeName="Лист31"/>
  <dimension ref="A1:S23"/>
  <sheetViews>
    <sheetView workbookViewId="0">
      <selection activeCell="P22" sqref="P22"/>
    </sheetView>
  </sheetViews>
  <sheetFormatPr defaultRowHeight="15"/>
  <cols>
    <col min="1" max="1" width="10.140625" bestFit="1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437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71</v>
      </c>
      <c r="B4" s="2" t="s">
        <v>12</v>
      </c>
      <c r="C4" s="500">
        <f>AVERAGEA(I7:I50)</f>
        <v>0.72562947397758615</v>
      </c>
      <c r="D4" s="501"/>
      <c r="E4" s="500">
        <f>AVERAGEA(J7:J50)</f>
        <v>12.367720205032436</v>
      </c>
      <c r="F4" s="501"/>
      <c r="G4" s="500">
        <f>AVERAGEA(K7:K50)</f>
        <v>5</v>
      </c>
      <c r="H4" s="501"/>
      <c r="I4" s="3">
        <f>C4*K2</f>
        <v>317.10008012820515</v>
      </c>
      <c r="J4" s="3">
        <f>I4*E4</f>
        <v>3921.8050680190072</v>
      </c>
      <c r="K4" s="3">
        <f>K2*G4</f>
        <v>2185</v>
      </c>
    </row>
    <row r="5" spans="1:19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  <c r="N6" s="492"/>
      <c r="O6" s="492"/>
      <c r="P6" s="492"/>
      <c r="Q6" s="492"/>
      <c r="R6" s="492"/>
      <c r="S6" s="492"/>
    </row>
    <row r="7" spans="1:19" ht="15.75">
      <c r="A7" s="28">
        <v>45201</v>
      </c>
      <c r="B7" s="29" t="s">
        <v>72</v>
      </c>
      <c r="C7" s="29" t="s">
        <v>63</v>
      </c>
      <c r="D7" s="29">
        <v>257</v>
      </c>
      <c r="E7" s="29">
        <v>55</v>
      </c>
      <c r="F7" s="29">
        <v>223</v>
      </c>
      <c r="G7" s="29">
        <v>2736</v>
      </c>
      <c r="H7" s="29">
        <v>1560</v>
      </c>
      <c r="I7" s="25">
        <f t="shared" ref="I7:I12" si="0">F7/(D7+E7)</f>
        <v>0.71474358974358976</v>
      </c>
      <c r="J7" s="25">
        <f t="shared" ref="J7:J12" si="1">G7/F7</f>
        <v>12.269058295964125</v>
      </c>
      <c r="K7" s="25">
        <f t="shared" ref="K7:K12" si="2">H7/(D7+E7)</f>
        <v>5</v>
      </c>
      <c r="N7" s="13" t="s">
        <v>49</v>
      </c>
      <c r="O7" s="14">
        <f>K2</f>
        <v>437</v>
      </c>
      <c r="P7" s="15">
        <f>I4</f>
        <v>317.10008012820515</v>
      </c>
      <c r="Q7" s="15">
        <f>J4</f>
        <v>3921.8050680190072</v>
      </c>
      <c r="R7" s="493">
        <f>Q7/P7</f>
        <v>12.367720205032436</v>
      </c>
      <c r="S7" s="493">
        <f>P7/O7</f>
        <v>0.72562947397758615</v>
      </c>
    </row>
    <row r="8" spans="1:19" ht="15.75">
      <c r="A8" s="24">
        <v>45203</v>
      </c>
      <c r="B8" s="23" t="s">
        <v>72</v>
      </c>
      <c r="C8" s="23" t="s">
        <v>63</v>
      </c>
      <c r="D8" s="23">
        <v>331</v>
      </c>
      <c r="E8" s="23">
        <v>106</v>
      </c>
      <c r="F8" s="23">
        <v>308</v>
      </c>
      <c r="G8" s="23">
        <v>3847</v>
      </c>
      <c r="H8" s="23">
        <v>2185</v>
      </c>
      <c r="I8" s="25">
        <f t="shared" si="0"/>
        <v>0.70480549199084663</v>
      </c>
      <c r="J8" s="25">
        <f t="shared" si="1"/>
        <v>12.49025974025974</v>
      </c>
      <c r="K8" s="25">
        <f t="shared" si="2"/>
        <v>5</v>
      </c>
      <c r="N8" s="13" t="s">
        <v>50</v>
      </c>
      <c r="O8" s="14">
        <f>O7</f>
        <v>437</v>
      </c>
      <c r="P8" s="16">
        <f>O8*S7</f>
        <v>317.10008012820515</v>
      </c>
      <c r="Q8" s="16">
        <f>P8*R7</f>
        <v>3921.8050680190072</v>
      </c>
      <c r="R8" s="492"/>
      <c r="S8" s="492"/>
    </row>
    <row r="9" spans="1:19">
      <c r="A9" s="24">
        <v>45208</v>
      </c>
      <c r="B9" s="23" t="s">
        <v>72</v>
      </c>
      <c r="C9" s="23" t="s">
        <v>63</v>
      </c>
      <c r="D9" s="23">
        <v>347</v>
      </c>
      <c r="E9" s="23">
        <v>69</v>
      </c>
      <c r="F9" s="23">
        <v>293</v>
      </c>
      <c r="G9" s="23">
        <v>3706</v>
      </c>
      <c r="H9" s="23">
        <v>2080</v>
      </c>
      <c r="I9" s="25">
        <f t="shared" si="0"/>
        <v>0.70432692307692313</v>
      </c>
      <c r="J9" s="25">
        <f t="shared" si="1"/>
        <v>12.648464163822526</v>
      </c>
      <c r="K9" s="25">
        <f t="shared" si="2"/>
        <v>5</v>
      </c>
      <c r="N9" s="494" t="s">
        <v>51</v>
      </c>
      <c r="O9" s="495"/>
      <c r="P9" s="495"/>
      <c r="Q9" s="495"/>
      <c r="R9" s="495"/>
      <c r="S9" s="496"/>
    </row>
    <row r="10" spans="1:19">
      <c r="A10" s="24">
        <v>45210</v>
      </c>
      <c r="B10" s="23" t="s">
        <v>72</v>
      </c>
      <c r="C10" s="23" t="s">
        <v>63</v>
      </c>
      <c r="D10" s="23">
        <v>362</v>
      </c>
      <c r="E10" s="23">
        <v>75</v>
      </c>
      <c r="F10" s="23">
        <v>330</v>
      </c>
      <c r="G10" s="23">
        <v>4039</v>
      </c>
      <c r="H10" s="23">
        <v>2185</v>
      </c>
      <c r="I10" s="25">
        <f t="shared" si="0"/>
        <v>0.75514874141876431</v>
      </c>
      <c r="J10" s="25">
        <f t="shared" si="1"/>
        <v>12.23939393939394</v>
      </c>
      <c r="K10" s="25">
        <f t="shared" si="2"/>
        <v>5</v>
      </c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24">
        <v>45215</v>
      </c>
      <c r="B11" s="23" t="s">
        <v>72</v>
      </c>
      <c r="C11" s="23" t="s">
        <v>63</v>
      </c>
      <c r="D11" s="23">
        <v>353</v>
      </c>
      <c r="E11" s="23">
        <v>82</v>
      </c>
      <c r="F11" s="23">
        <v>319</v>
      </c>
      <c r="G11" s="23">
        <v>3966</v>
      </c>
      <c r="H11" s="23">
        <v>2175</v>
      </c>
      <c r="I11" s="25">
        <f t="shared" si="0"/>
        <v>0.73333333333333328</v>
      </c>
      <c r="J11" s="25">
        <f t="shared" si="1"/>
        <v>12.432601880877742</v>
      </c>
      <c r="K11" s="25">
        <f t="shared" si="2"/>
        <v>5</v>
      </c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24">
        <v>45217</v>
      </c>
      <c r="B12" s="23" t="s">
        <v>72</v>
      </c>
      <c r="C12" s="23" t="s">
        <v>63</v>
      </c>
      <c r="D12" s="23">
        <v>374</v>
      </c>
      <c r="E12" s="23">
        <v>63</v>
      </c>
      <c r="F12" s="23">
        <v>324</v>
      </c>
      <c r="G12" s="23">
        <v>3929</v>
      </c>
      <c r="H12" s="23">
        <v>2185</v>
      </c>
      <c r="I12" s="25">
        <f t="shared" si="0"/>
        <v>0.74141876430205955</v>
      </c>
      <c r="J12" s="25">
        <f t="shared" si="1"/>
        <v>12.126543209876543</v>
      </c>
      <c r="K12" s="25">
        <f t="shared" si="2"/>
        <v>5</v>
      </c>
      <c r="N12" s="17">
        <v>1</v>
      </c>
      <c r="O12" s="18">
        <v>44</v>
      </c>
      <c r="P12" s="19">
        <f>O12*R7</f>
        <v>544.17968902142718</v>
      </c>
      <c r="Q12" s="17">
        <v>3</v>
      </c>
      <c r="R12" s="18">
        <v>35</v>
      </c>
      <c r="S12" s="19">
        <f>R12*R7</f>
        <v>432.87020717613524</v>
      </c>
    </row>
    <row r="13" spans="1:19" ht="15.75">
      <c r="A13" s="24"/>
      <c r="B13" s="23"/>
      <c r="C13" s="23"/>
      <c r="D13" s="23"/>
      <c r="E13" s="23"/>
      <c r="F13" s="23"/>
      <c r="G13" s="23"/>
      <c r="H13" s="23"/>
      <c r="I13" s="25"/>
      <c r="J13" s="25"/>
      <c r="K13" s="25"/>
      <c r="N13" s="17">
        <v>2</v>
      </c>
      <c r="O13" s="18">
        <v>44</v>
      </c>
      <c r="P13" s="19">
        <f>O13*R7</f>
        <v>544.17968902142718</v>
      </c>
      <c r="Q13" s="17">
        <v>4</v>
      </c>
      <c r="R13" s="18">
        <v>18</v>
      </c>
      <c r="S13" s="19">
        <f>R7*R13</f>
        <v>222.61896369058385</v>
      </c>
    </row>
    <row r="14" spans="1:19" ht="15.75">
      <c r="N14" s="17">
        <v>3</v>
      </c>
      <c r="O14" s="18">
        <v>44</v>
      </c>
      <c r="P14" s="19">
        <f>R7*O14</f>
        <v>544.17968902142718</v>
      </c>
      <c r="Q14" s="17">
        <v>5</v>
      </c>
      <c r="R14" s="18">
        <v>0</v>
      </c>
      <c r="S14" s="19">
        <f>R14*R7</f>
        <v>0</v>
      </c>
    </row>
    <row r="15" spans="1:19" ht="15.75">
      <c r="N15" s="17">
        <v>4</v>
      </c>
      <c r="O15" s="18">
        <v>44</v>
      </c>
      <c r="P15" s="19">
        <f>R7*O15</f>
        <v>544.17968902142718</v>
      </c>
      <c r="Q15" s="17">
        <v>1</v>
      </c>
      <c r="R15" s="18">
        <v>0</v>
      </c>
      <c r="S15" s="19">
        <f>R7*R15</f>
        <v>0</v>
      </c>
    </row>
    <row r="16" spans="1:19" ht="15.75">
      <c r="N16" s="17">
        <v>5</v>
      </c>
      <c r="O16" s="18">
        <v>44</v>
      </c>
      <c r="P16" s="19">
        <f>R7*O16</f>
        <v>544.17968902142718</v>
      </c>
      <c r="Q16" s="17"/>
      <c r="R16" s="18">
        <v>0</v>
      </c>
      <c r="S16" s="19">
        <f>R7*R16</f>
        <v>0</v>
      </c>
    </row>
    <row r="17" spans="14:19" ht="15.75">
      <c r="N17" s="17">
        <v>6</v>
      </c>
      <c r="O17" s="18">
        <v>44</v>
      </c>
      <c r="P17" s="19">
        <f>R7*O17</f>
        <v>544.17968902142718</v>
      </c>
      <c r="Q17" s="17"/>
      <c r="R17" s="18">
        <v>0</v>
      </c>
      <c r="S17" s="19">
        <f>R7*R17</f>
        <v>0</v>
      </c>
    </row>
    <row r="18" spans="14:19" ht="15.75">
      <c r="N18" s="17">
        <v>7</v>
      </c>
      <c r="O18" s="18">
        <v>43</v>
      </c>
      <c r="P18" s="19">
        <f>R7*O18</f>
        <v>531.81196881639471</v>
      </c>
      <c r="Q18" s="17"/>
      <c r="R18" s="18">
        <v>0</v>
      </c>
      <c r="S18" s="19">
        <f>R7*R18</f>
        <v>0</v>
      </c>
    </row>
    <row r="19" spans="14:19" ht="15.75">
      <c r="N19" s="17">
        <v>8</v>
      </c>
      <c r="O19" s="18">
        <v>40</v>
      </c>
      <c r="P19" s="19">
        <f>R7*O19</f>
        <v>494.70880820129742</v>
      </c>
      <c r="Q19" s="17"/>
      <c r="R19" s="18">
        <v>0</v>
      </c>
      <c r="S19" s="19">
        <f>R7*R19</f>
        <v>0</v>
      </c>
    </row>
    <row r="20" spans="14:19" ht="15.75">
      <c r="N20" s="17">
        <v>9</v>
      </c>
      <c r="O20" s="18">
        <v>0</v>
      </c>
      <c r="P20" s="19">
        <f>R7*O20</f>
        <v>0</v>
      </c>
      <c r="Q20" s="17"/>
      <c r="R20" s="18">
        <v>0</v>
      </c>
      <c r="S20" s="19">
        <f>R7*R20</f>
        <v>0</v>
      </c>
    </row>
    <row r="21" spans="14:19" ht="15.75">
      <c r="N21" s="20" t="s">
        <v>53</v>
      </c>
      <c r="O21" s="18">
        <v>0</v>
      </c>
      <c r="P21" s="19">
        <f>R7*O21</f>
        <v>0</v>
      </c>
      <c r="Q21" s="17"/>
      <c r="R21" s="18"/>
      <c r="S21" s="19">
        <f>R7*R21</f>
        <v>0</v>
      </c>
    </row>
    <row r="22" spans="14:19" ht="15.75">
      <c r="N22" s="13" t="s">
        <v>59</v>
      </c>
      <c r="O22" s="21">
        <f>P8-O12-O13-O14-O15-O16-O17-O18-O19-O20-O21</f>
        <v>-29.89991987179485</v>
      </c>
      <c r="P22" s="21">
        <f>Q8-P12-P13-P14-P15-P16-P17-P18-P19-P20-P21</f>
        <v>-369.79384312724858</v>
      </c>
      <c r="Q22" s="13" t="s">
        <v>59</v>
      </c>
      <c r="R22" s="21">
        <f>P8-R12-R13-R14-R15-R16-R17-R18-R19-R20-R21</f>
        <v>264.10008012820515</v>
      </c>
      <c r="S22" s="21">
        <f>Q8-S12-S13-S14-S15-S16-S17-S18-S19-S20-S21</f>
        <v>3266.315897152288</v>
      </c>
    </row>
    <row r="23" spans="14:19">
      <c r="N23" s="13" t="s">
        <v>60</v>
      </c>
      <c r="O23" s="16">
        <f>O12+O13+O14+O15+O16+O17+O18+O19+O20+O21</f>
        <v>347</v>
      </c>
      <c r="P23" s="16">
        <f>P12+P13+P14+P15+P16+P17+P18+P19+P20+P21</f>
        <v>4291.598911146255</v>
      </c>
      <c r="Q23" s="13" t="s">
        <v>60</v>
      </c>
      <c r="R23" s="16">
        <f>R12+R13+R14+R15+R16+R17+R18+R19+R20+R21</f>
        <v>53</v>
      </c>
      <c r="S23" s="16">
        <f>S12+S13+S14+S15+S16+S17+S18+S19+S20+S21</f>
        <v>655.48917086671906</v>
      </c>
    </row>
  </sheetData>
  <sheetProtection password="CC6F" sheet="1" objects="1" scenarios="1"/>
  <mergeCells count="34">
    <mergeCell ref="S5:S6"/>
    <mergeCell ref="R7:R8"/>
    <mergeCell ref="S7:S8"/>
    <mergeCell ref="N9:S9"/>
    <mergeCell ref="N10:P10"/>
    <mergeCell ref="Q10:S10"/>
    <mergeCell ref="N5:N6"/>
    <mergeCell ref="O5:O6"/>
    <mergeCell ref="P5:P6"/>
    <mergeCell ref="Q5:Q6"/>
    <mergeCell ref="R5:R6"/>
    <mergeCell ref="I5:I6"/>
    <mergeCell ref="J5:J6"/>
    <mergeCell ref="K5:K6"/>
    <mergeCell ref="C4:D4"/>
    <mergeCell ref="E4:F4"/>
    <mergeCell ref="G4:H4"/>
    <mergeCell ref="F5:G5"/>
    <mergeCell ref="H5:H6"/>
    <mergeCell ref="A5:A6"/>
    <mergeCell ref="B5:B6"/>
    <mergeCell ref="C5:C6"/>
    <mergeCell ref="D5:D6"/>
    <mergeCell ref="E5:E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sheetPr codeName="Лист14"/>
  <dimension ref="A1:S999"/>
  <sheetViews>
    <sheetView workbookViewId="0">
      <selection activeCell="K7" sqref="K7:K8"/>
    </sheetView>
  </sheetViews>
  <sheetFormatPr defaultColWidth="14.42578125" defaultRowHeight="15" customHeight="1"/>
  <cols>
    <col min="1" max="1" width="10.7109375" customWidth="1"/>
    <col min="2" max="8" width="8.7109375" customWidth="1"/>
    <col min="9" max="9" width="14" customWidth="1"/>
    <col min="10" max="10" width="15.5703125" customWidth="1"/>
    <col min="11" max="11" width="12.85546875" customWidth="1"/>
    <col min="12" max="13" width="8.7109375" customWidth="1"/>
    <col min="14" max="14" width="12" customWidth="1"/>
    <col min="15" max="15" width="11.5703125" customWidth="1"/>
    <col min="16" max="16" width="13.5703125" customWidth="1"/>
    <col min="17" max="17" width="12" customWidth="1"/>
    <col min="18" max="18" width="10.42578125" customWidth="1"/>
    <col min="19" max="19" width="12.7109375" customWidth="1"/>
    <col min="20" max="26" width="8.7109375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178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39</v>
      </c>
      <c r="B4" s="2" t="s">
        <v>12</v>
      </c>
      <c r="C4" s="500">
        <f>AVERAGEA(I7:I40)</f>
        <v>0.86413457593341536</v>
      </c>
      <c r="D4" s="501"/>
      <c r="E4" s="500">
        <f>AVERAGEA(J7:J40)</f>
        <v>13.951072017592082</v>
      </c>
      <c r="F4" s="501"/>
      <c r="G4" s="500">
        <f>AVERAGEA(K7:K40)</f>
        <v>2.9035812672176311</v>
      </c>
      <c r="H4" s="501"/>
      <c r="I4" s="3">
        <f>C4*K2</f>
        <v>153.81595451614794</v>
      </c>
      <c r="J4" s="3">
        <f>I4*E4</f>
        <v>2145.8974589094482</v>
      </c>
      <c r="K4" s="3">
        <f>K2*G4</f>
        <v>516.8374655647383</v>
      </c>
    </row>
    <row r="5" spans="1:19" ht="15" customHeight="1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  <c r="N6" s="492"/>
      <c r="O6" s="492"/>
      <c r="P6" s="492"/>
      <c r="Q6" s="492"/>
      <c r="R6" s="492"/>
      <c r="S6" s="492"/>
    </row>
    <row r="7" spans="1:19" ht="15.75">
      <c r="A7" s="28">
        <v>46209</v>
      </c>
      <c r="B7" s="29">
        <v>1402</v>
      </c>
      <c r="C7" s="29" t="s">
        <v>62</v>
      </c>
      <c r="D7" s="29">
        <v>117</v>
      </c>
      <c r="E7" s="29">
        <v>4</v>
      </c>
      <c r="F7" s="29">
        <v>107</v>
      </c>
      <c r="G7" s="29">
        <v>1519</v>
      </c>
      <c r="H7" s="29">
        <v>380</v>
      </c>
      <c r="I7" s="25">
        <f t="shared" ref="I7:I8" si="0">F7/(D7+E7)</f>
        <v>0.88429752066115708</v>
      </c>
      <c r="J7" s="25">
        <f t="shared" ref="J7:J8" si="1">G7/F7</f>
        <v>14.196261682242991</v>
      </c>
      <c r="K7" s="25">
        <f t="shared" ref="K7:K8" si="2">H7/(D7+E7)</f>
        <v>3.1404958677685952</v>
      </c>
      <c r="N7" s="13" t="s">
        <v>49</v>
      </c>
      <c r="O7" s="14">
        <f>K2</f>
        <v>178</v>
      </c>
      <c r="P7" s="15">
        <f>I4</f>
        <v>153.81595451614794</v>
      </c>
      <c r="Q7" s="15">
        <f>J4</f>
        <v>2145.8974589094482</v>
      </c>
      <c r="R7" s="493">
        <f>Q7/P7</f>
        <v>13.951072017592084</v>
      </c>
      <c r="S7" s="493">
        <f>P7/O7</f>
        <v>0.86413457593341536</v>
      </c>
    </row>
    <row r="8" spans="1:19" ht="15.75">
      <c r="A8" s="24">
        <v>46216</v>
      </c>
      <c r="B8" s="23">
        <v>1402</v>
      </c>
      <c r="C8" s="23" t="s">
        <v>62</v>
      </c>
      <c r="D8" s="23">
        <v>132</v>
      </c>
      <c r="E8" s="23">
        <v>9</v>
      </c>
      <c r="F8" s="23">
        <v>119</v>
      </c>
      <c r="G8" s="23">
        <v>1631</v>
      </c>
      <c r="H8" s="23">
        <v>376</v>
      </c>
      <c r="I8" s="25">
        <f t="shared" si="0"/>
        <v>0.84397163120567376</v>
      </c>
      <c r="J8" s="25">
        <f t="shared" si="1"/>
        <v>13.705882352941176</v>
      </c>
      <c r="K8" s="25">
        <f t="shared" si="2"/>
        <v>2.6666666666666665</v>
      </c>
      <c r="N8" s="13" t="s">
        <v>50</v>
      </c>
      <c r="O8" s="14">
        <f>O7</f>
        <v>178</v>
      </c>
      <c r="P8" s="16">
        <f>O8*S7</f>
        <v>153.81595451614794</v>
      </c>
      <c r="Q8" s="16">
        <f>P8*R7</f>
        <v>2145.8974589094482</v>
      </c>
      <c r="R8" s="492"/>
      <c r="S8" s="492"/>
    </row>
    <row r="9" spans="1:19">
      <c r="A9" s="24"/>
      <c r="B9" s="23"/>
      <c r="C9" s="23"/>
      <c r="D9" s="23"/>
      <c r="E9" s="23"/>
      <c r="F9" s="23"/>
      <c r="G9" s="23"/>
      <c r="H9" s="23"/>
      <c r="I9" s="25"/>
      <c r="J9" s="25"/>
      <c r="K9" s="25"/>
      <c r="N9" s="494" t="s">
        <v>51</v>
      </c>
      <c r="O9" s="495"/>
      <c r="P9" s="495"/>
      <c r="Q9" s="495"/>
      <c r="R9" s="495"/>
      <c r="S9" s="496"/>
    </row>
    <row r="10" spans="1:19">
      <c r="A10" s="24"/>
      <c r="B10" s="23"/>
      <c r="C10" s="405"/>
      <c r="D10" s="23"/>
      <c r="E10" s="23"/>
      <c r="F10" s="23"/>
      <c r="G10" s="23"/>
      <c r="H10" s="23"/>
      <c r="I10" s="25"/>
      <c r="J10" s="25"/>
      <c r="K10" s="25"/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24"/>
      <c r="B11" s="23"/>
      <c r="C11" s="412"/>
      <c r="D11" s="23"/>
      <c r="E11" s="23"/>
      <c r="F11" s="23"/>
      <c r="G11" s="23"/>
      <c r="H11" s="23"/>
      <c r="I11" s="25"/>
      <c r="J11" s="25"/>
      <c r="K11" s="25"/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24"/>
      <c r="B12" s="23"/>
      <c r="C12" s="23"/>
      <c r="D12" s="23"/>
      <c r="E12" s="23"/>
      <c r="F12" s="23"/>
      <c r="G12" s="23"/>
      <c r="H12" s="23"/>
      <c r="I12" s="25"/>
      <c r="J12" s="25"/>
      <c r="K12" s="25"/>
      <c r="N12" s="17">
        <v>1</v>
      </c>
      <c r="O12" s="18">
        <v>0</v>
      </c>
      <c r="P12" s="19">
        <f>O12*R7</f>
        <v>0</v>
      </c>
      <c r="Q12" s="17">
        <v>3</v>
      </c>
      <c r="R12" s="18">
        <v>40</v>
      </c>
      <c r="S12" s="19">
        <f>R12*R7</f>
        <v>558.04288070368341</v>
      </c>
    </row>
    <row r="13" spans="1:19" ht="15.75">
      <c r="A13" s="24"/>
      <c r="B13" s="23"/>
      <c r="C13" s="23"/>
      <c r="D13" s="23"/>
      <c r="E13" s="23"/>
      <c r="F13" s="23"/>
      <c r="G13" s="23"/>
      <c r="H13" s="23"/>
      <c r="I13" s="25"/>
      <c r="J13" s="25"/>
      <c r="K13" s="25"/>
      <c r="N13" s="17">
        <v>2</v>
      </c>
      <c r="O13" s="18">
        <v>0</v>
      </c>
      <c r="P13" s="19">
        <f>O13*R7</f>
        <v>0</v>
      </c>
      <c r="Q13" s="17">
        <v>4</v>
      </c>
      <c r="R13" s="18">
        <v>131</v>
      </c>
      <c r="S13" s="19">
        <f>R7*R13</f>
        <v>1827.5904343045631</v>
      </c>
    </row>
    <row r="14" spans="1:19" ht="15.75">
      <c r="A14" s="24"/>
      <c r="B14" s="23"/>
      <c r="C14" s="23"/>
      <c r="D14" s="23"/>
      <c r="E14" s="23"/>
      <c r="F14" s="23"/>
      <c r="G14" s="23"/>
      <c r="H14" s="23"/>
      <c r="I14" s="25"/>
      <c r="J14" s="25"/>
      <c r="K14" s="25"/>
      <c r="N14" s="17">
        <v>3</v>
      </c>
      <c r="O14" s="18">
        <v>1</v>
      </c>
      <c r="P14" s="19">
        <f>R7*O14</f>
        <v>13.951072017592084</v>
      </c>
      <c r="Q14" s="17">
        <v>5</v>
      </c>
      <c r="R14" s="18">
        <v>0</v>
      </c>
      <c r="S14" s="19">
        <f>R14*R7</f>
        <v>0</v>
      </c>
    </row>
    <row r="15" spans="1:19" ht="15.75">
      <c r="A15" s="24"/>
      <c r="B15" s="23"/>
      <c r="C15" s="350"/>
      <c r="D15" s="23"/>
      <c r="E15" s="23"/>
      <c r="F15" s="23"/>
      <c r="G15" s="23"/>
      <c r="H15" s="23"/>
      <c r="I15" s="25"/>
      <c r="J15" s="25"/>
      <c r="K15" s="25"/>
      <c r="N15" s="17">
        <v>4</v>
      </c>
      <c r="O15" s="18">
        <v>0</v>
      </c>
      <c r="P15" s="19">
        <f>R7*O15</f>
        <v>0</v>
      </c>
      <c r="Q15" s="17">
        <v>1</v>
      </c>
      <c r="R15" s="18">
        <v>0</v>
      </c>
      <c r="S15" s="19">
        <f>R7*R15</f>
        <v>0</v>
      </c>
    </row>
    <row r="16" spans="1:19" ht="15.75">
      <c r="A16" s="24"/>
      <c r="B16" s="23"/>
      <c r="C16" s="23"/>
      <c r="D16" s="23"/>
      <c r="E16" s="23"/>
      <c r="F16" s="23"/>
      <c r="G16" s="23"/>
      <c r="H16" s="23"/>
      <c r="I16" s="25"/>
      <c r="J16" s="25"/>
      <c r="K16" s="25"/>
      <c r="N16" s="17">
        <v>5</v>
      </c>
      <c r="O16" s="18">
        <v>0</v>
      </c>
      <c r="P16" s="19">
        <f>R7*O16</f>
        <v>0</v>
      </c>
      <c r="Q16" s="17"/>
      <c r="R16" s="18">
        <v>0</v>
      </c>
      <c r="S16" s="19">
        <f>R7*R16</f>
        <v>0</v>
      </c>
    </row>
    <row r="17" spans="1:19" ht="15.75">
      <c r="A17" s="24"/>
      <c r="B17" s="23"/>
      <c r="C17" s="23"/>
      <c r="D17" s="23"/>
      <c r="E17" s="23"/>
      <c r="F17" s="23"/>
      <c r="G17" s="23"/>
      <c r="H17" s="23"/>
      <c r="I17" s="25"/>
      <c r="J17" s="25"/>
      <c r="K17" s="25"/>
      <c r="N17" s="17">
        <v>6</v>
      </c>
      <c r="O17" s="18">
        <v>0</v>
      </c>
      <c r="P17" s="19">
        <f>R7*O17</f>
        <v>0</v>
      </c>
      <c r="Q17" s="17"/>
      <c r="R17" s="18">
        <v>0</v>
      </c>
      <c r="S17" s="19">
        <f>R7*R17</f>
        <v>0</v>
      </c>
    </row>
    <row r="18" spans="1:19" ht="15.75">
      <c r="A18" s="24"/>
      <c r="B18" s="23"/>
      <c r="C18" s="23"/>
      <c r="D18" s="23"/>
      <c r="E18" s="23"/>
      <c r="F18" s="23"/>
      <c r="G18" s="23"/>
      <c r="H18" s="23"/>
      <c r="I18" s="25"/>
      <c r="J18" s="25"/>
      <c r="K18" s="25"/>
      <c r="N18" s="17">
        <v>7</v>
      </c>
      <c r="O18" s="18">
        <v>0</v>
      </c>
      <c r="P18" s="19">
        <f>R7*O18</f>
        <v>0</v>
      </c>
      <c r="Q18" s="17"/>
      <c r="R18" s="18">
        <v>0</v>
      </c>
      <c r="S18" s="19">
        <f>R7*R18</f>
        <v>0</v>
      </c>
    </row>
    <row r="19" spans="1:19" ht="15.75">
      <c r="A19" s="24"/>
      <c r="B19" s="23"/>
      <c r="C19" s="23"/>
      <c r="D19" s="23"/>
      <c r="E19" s="23"/>
      <c r="F19" s="23"/>
      <c r="G19" s="23"/>
      <c r="H19" s="23"/>
      <c r="I19" s="25"/>
      <c r="J19" s="25"/>
      <c r="K19" s="25"/>
      <c r="N19" s="17">
        <v>8</v>
      </c>
      <c r="O19" s="18">
        <v>30</v>
      </c>
      <c r="P19" s="19">
        <f>R7*O19</f>
        <v>418.53216052776253</v>
      </c>
      <c r="Q19" s="17"/>
      <c r="R19" s="18">
        <v>0</v>
      </c>
      <c r="S19" s="19">
        <f>R7*R19</f>
        <v>0</v>
      </c>
    </row>
    <row r="20" spans="1:19" ht="15.75">
      <c r="A20" s="24"/>
      <c r="B20" s="23"/>
      <c r="C20" s="23"/>
      <c r="D20" s="23"/>
      <c r="E20" s="23"/>
      <c r="F20" s="23"/>
      <c r="G20" s="23"/>
      <c r="H20" s="23"/>
      <c r="I20" s="25"/>
      <c r="J20" s="25"/>
      <c r="K20" s="25"/>
      <c r="N20" s="17">
        <v>9</v>
      </c>
      <c r="O20" s="18">
        <v>50</v>
      </c>
      <c r="P20" s="19">
        <f>R7*O20</f>
        <v>697.55360087960423</v>
      </c>
      <c r="Q20" s="17"/>
      <c r="R20" s="18">
        <v>0</v>
      </c>
      <c r="S20" s="19">
        <f>R7*R20</f>
        <v>0</v>
      </c>
    </row>
    <row r="21" spans="1:19" ht="15.75" customHeight="1">
      <c r="A21" s="24"/>
      <c r="B21" s="23"/>
      <c r="C21" s="23"/>
      <c r="D21" s="23"/>
      <c r="E21" s="23"/>
      <c r="F21" s="23"/>
      <c r="G21" s="23"/>
      <c r="H21" s="23"/>
      <c r="I21" s="25"/>
      <c r="J21" s="25"/>
      <c r="K21" s="25"/>
      <c r="N21" s="20" t="s">
        <v>53</v>
      </c>
      <c r="O21" s="18">
        <v>50</v>
      </c>
      <c r="P21" s="19">
        <f>R7*O21</f>
        <v>697.55360087960423</v>
      </c>
      <c r="Q21" s="17"/>
      <c r="R21" s="18">
        <v>0</v>
      </c>
      <c r="S21" s="19">
        <f>R7*R21</f>
        <v>0</v>
      </c>
    </row>
    <row r="22" spans="1:19" ht="15.75" customHeight="1">
      <c r="A22" s="24"/>
      <c r="B22" s="23"/>
      <c r="C22" s="23"/>
      <c r="D22" s="23"/>
      <c r="E22" s="23"/>
      <c r="F22" s="23"/>
      <c r="G22" s="23"/>
      <c r="H22" s="23"/>
      <c r="I22" s="25"/>
      <c r="J22" s="25"/>
      <c r="K22" s="25"/>
      <c r="N22" s="13" t="s">
        <v>59</v>
      </c>
      <c r="O22" s="21">
        <f>P8-O12-O13-O14-O15-O16-O17-O18-O19-O20-O21</f>
        <v>22.81595451614794</v>
      </c>
      <c r="P22" s="21">
        <f>Q8-P12-P13-P14-P15-P16-P17-P18-P19-P20-P21</f>
        <v>318.3070246048851</v>
      </c>
      <c r="Q22" s="13" t="s">
        <v>59</v>
      </c>
      <c r="R22" s="21">
        <f>P8-R12-R13-R14-R15-R16-R17-R18-R19-R20-R21</f>
        <v>-17.18404548385206</v>
      </c>
      <c r="S22" s="21">
        <f>Q8-S12-S13-S14-S15-S16-S17-S18-S19-S20-S21</f>
        <v>-239.73585609879819</v>
      </c>
    </row>
    <row r="23" spans="1:19" ht="15.75" customHeight="1">
      <c r="A23" s="24"/>
      <c r="B23" s="23"/>
      <c r="C23" s="23"/>
      <c r="D23" s="23"/>
      <c r="E23" s="23"/>
      <c r="F23" s="23"/>
      <c r="G23" s="23"/>
      <c r="H23" s="23"/>
      <c r="I23" s="25"/>
      <c r="J23" s="25"/>
      <c r="K23" s="25"/>
      <c r="N23" s="13" t="s">
        <v>60</v>
      </c>
      <c r="O23" s="16">
        <f>O12+O13+O14+O15+O16+O17+O18+O19+O20+O21</f>
        <v>131</v>
      </c>
      <c r="P23" s="16">
        <f>P12+P13+P14+P15+P16+P17+P18+P19+P20+P21</f>
        <v>1827.5904343045631</v>
      </c>
      <c r="Q23" s="13" t="s">
        <v>60</v>
      </c>
      <c r="R23" s="16">
        <f>R12+R13+R14+R15+R16+R17+R18+R19+R20+R21</f>
        <v>171</v>
      </c>
      <c r="S23" s="16">
        <f>S12+S13+S14+S15+S16+S17+S18+S19+S20+S21</f>
        <v>2385.6333150082464</v>
      </c>
    </row>
    <row r="24" spans="1:19" ht="15.75" customHeight="1">
      <c r="A24" s="24"/>
      <c r="B24" s="23"/>
      <c r="C24" s="23"/>
      <c r="D24" s="23"/>
      <c r="E24" s="23"/>
      <c r="F24" s="23"/>
      <c r="G24" s="23"/>
      <c r="H24" s="23"/>
      <c r="I24" s="25"/>
      <c r="J24" s="25"/>
      <c r="K24" s="25"/>
    </row>
    <row r="25" spans="1:19" ht="15.75" customHeight="1">
      <c r="A25" s="24"/>
      <c r="B25" s="23"/>
      <c r="C25" s="23"/>
      <c r="D25" s="23"/>
      <c r="E25" s="23"/>
      <c r="F25" s="23"/>
      <c r="G25" s="23"/>
      <c r="H25" s="23"/>
      <c r="I25" s="25"/>
      <c r="J25" s="25"/>
      <c r="K25" s="25"/>
    </row>
    <row r="26" spans="1:19" ht="15.75" customHeight="1">
      <c r="A26" s="24"/>
      <c r="B26" s="23"/>
      <c r="C26" s="23"/>
      <c r="D26" s="23"/>
      <c r="E26" s="23"/>
      <c r="F26" s="23"/>
      <c r="G26" s="23"/>
      <c r="H26" s="23"/>
      <c r="I26" s="25"/>
      <c r="J26" s="25"/>
      <c r="K26" s="25"/>
    </row>
    <row r="27" spans="1:19" ht="15.75" customHeight="1">
      <c r="A27" s="24"/>
      <c r="B27" s="23"/>
      <c r="C27" s="23"/>
      <c r="D27" s="23"/>
      <c r="E27" s="23"/>
      <c r="F27" s="23"/>
      <c r="G27" s="23"/>
      <c r="H27" s="23"/>
      <c r="I27" s="25"/>
      <c r="J27" s="25"/>
      <c r="K27" s="25"/>
    </row>
    <row r="28" spans="1:19" ht="15.75" customHeight="1">
      <c r="A28" s="24"/>
      <c r="B28" s="23"/>
      <c r="C28" s="23"/>
      <c r="D28" s="23"/>
      <c r="E28" s="23"/>
      <c r="F28" s="23"/>
      <c r="G28" s="23"/>
      <c r="H28" s="23"/>
      <c r="I28" s="25"/>
      <c r="J28" s="25"/>
      <c r="K28" s="25"/>
    </row>
    <row r="29" spans="1:19" ht="15.75" customHeight="1">
      <c r="A29" s="24"/>
      <c r="B29" s="23"/>
      <c r="C29" s="23"/>
      <c r="D29" s="23"/>
      <c r="E29" s="23"/>
      <c r="F29" s="23"/>
      <c r="G29" s="23"/>
      <c r="H29" s="23"/>
      <c r="I29" s="25"/>
      <c r="J29" s="25"/>
      <c r="K29" s="25"/>
    </row>
    <row r="30" spans="1:19" ht="15.75" customHeight="1">
      <c r="A30" s="24"/>
      <c r="B30" s="23"/>
      <c r="C30" s="23"/>
      <c r="D30" s="23"/>
      <c r="E30" s="23"/>
      <c r="F30" s="23"/>
      <c r="G30" s="23"/>
      <c r="H30" s="23"/>
      <c r="I30" s="25"/>
      <c r="J30" s="25"/>
      <c r="K30" s="25"/>
    </row>
    <row r="31" spans="1:19" ht="15.75" customHeight="1">
      <c r="A31" s="24"/>
      <c r="B31" s="23"/>
      <c r="C31" s="23"/>
      <c r="D31" s="23"/>
      <c r="E31" s="23"/>
      <c r="F31" s="23"/>
      <c r="G31" s="23"/>
      <c r="H31" s="23"/>
      <c r="I31" s="25"/>
      <c r="J31" s="25"/>
      <c r="K31" s="25"/>
    </row>
    <row r="32" spans="1:19" ht="15.75" customHeight="1">
      <c r="A32" s="24"/>
      <c r="B32" s="23"/>
      <c r="C32" s="23"/>
      <c r="D32" s="23"/>
      <c r="E32" s="23"/>
      <c r="F32" s="23"/>
      <c r="G32" s="23"/>
      <c r="H32" s="23"/>
      <c r="I32" s="25"/>
      <c r="J32" s="25"/>
      <c r="K32" s="25"/>
    </row>
    <row r="33" spans="1:11" ht="15.75" customHeight="1">
      <c r="A33" s="24"/>
      <c r="B33" s="23"/>
      <c r="C33" s="23"/>
      <c r="D33" s="23"/>
      <c r="E33" s="23"/>
      <c r="F33" s="23"/>
      <c r="G33" s="23"/>
      <c r="H33" s="23"/>
      <c r="I33" s="25"/>
      <c r="J33" s="25"/>
      <c r="K33" s="25"/>
    </row>
    <row r="34" spans="1:11" ht="15.75" customHeight="1">
      <c r="A34" s="24"/>
      <c r="B34" s="23"/>
      <c r="C34" s="23"/>
      <c r="D34" s="23"/>
      <c r="E34" s="23"/>
      <c r="F34" s="23"/>
      <c r="G34" s="23"/>
      <c r="H34" s="23"/>
      <c r="I34" s="25"/>
      <c r="J34" s="25"/>
      <c r="K34" s="25"/>
    </row>
    <row r="35" spans="1:11" ht="15.75" customHeight="1">
      <c r="A35" s="24"/>
      <c r="B35" s="23"/>
      <c r="C35" s="23"/>
      <c r="D35" s="23"/>
      <c r="E35" s="23"/>
      <c r="F35" s="23"/>
      <c r="G35" s="23"/>
      <c r="H35" s="23"/>
      <c r="I35" s="25"/>
      <c r="J35" s="25"/>
      <c r="K35" s="25"/>
    </row>
    <row r="36" spans="1:11" ht="15.75" customHeight="1"/>
    <row r="37" spans="1:11" ht="15.75" customHeight="1"/>
    <row r="38" spans="1:11" ht="15.75" customHeight="1"/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7"/>
      <c r="O55" s="7"/>
      <c r="P55" s="7"/>
      <c r="Q55" s="7"/>
      <c r="R55" s="7"/>
      <c r="S55" s="7"/>
    </row>
    <row r="56" spans="14:19" ht="15.75" customHeight="1">
      <c r="N56" s="22"/>
      <c r="O56" s="22"/>
      <c r="P56" s="22"/>
      <c r="Q56" s="22"/>
      <c r="R56" s="22"/>
      <c r="S56" s="2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O5:O6"/>
    <mergeCell ref="N10:P10"/>
    <mergeCell ref="Q10:S10"/>
    <mergeCell ref="Q5:Q6"/>
    <mergeCell ref="R5:R6"/>
    <mergeCell ref="S5:S6"/>
    <mergeCell ref="R7:R8"/>
    <mergeCell ref="S7:S8"/>
    <mergeCell ref="N9:S9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999"/>
  <sheetViews>
    <sheetView workbookViewId="0">
      <selection activeCell="I22" sqref="I22"/>
    </sheetView>
  </sheetViews>
  <sheetFormatPr defaultColWidth="14.42578125" defaultRowHeight="15" customHeight="1"/>
  <cols>
    <col min="1" max="1" width="10.85546875" customWidth="1"/>
    <col min="2" max="8" width="8.7109375" customWidth="1"/>
    <col min="9" max="9" width="14" customWidth="1"/>
    <col min="10" max="10" width="15.5703125" customWidth="1"/>
    <col min="11" max="11" width="12.85546875" customWidth="1"/>
    <col min="12" max="13" width="8.7109375" customWidth="1"/>
    <col min="14" max="14" width="12" customWidth="1"/>
    <col min="15" max="15" width="11.5703125" customWidth="1"/>
    <col min="16" max="16" width="13.5703125" customWidth="1"/>
    <col min="17" max="17" width="12" customWidth="1"/>
    <col min="18" max="18" width="10.42578125" customWidth="1"/>
    <col min="19" max="19" width="12.7109375" customWidth="1"/>
    <col min="20" max="26" width="8.7109375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178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39</v>
      </c>
      <c r="B4" s="2" t="s">
        <v>38</v>
      </c>
      <c r="C4" s="500">
        <f>AVERAGEA(I7:I40)</f>
        <v>0.88459057130081464</v>
      </c>
      <c r="D4" s="501"/>
      <c r="E4" s="500">
        <f>AVERAGEA(J7:J40)</f>
        <v>13.366109828401203</v>
      </c>
      <c r="F4" s="501"/>
      <c r="G4" s="500">
        <f>AVERAGEA(K7:K40)</f>
        <v>2.4906018230392708</v>
      </c>
      <c r="H4" s="501"/>
      <c r="I4" s="3">
        <f>C4*K2</f>
        <v>157.45712169154501</v>
      </c>
      <c r="J4" s="3">
        <f>I4*E4</f>
        <v>2104.5891817931242</v>
      </c>
      <c r="K4" s="3">
        <f>K2*G4</f>
        <v>443.32712450099018</v>
      </c>
    </row>
    <row r="5" spans="1:19" ht="15" customHeight="1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  <c r="N6" s="492"/>
      <c r="O6" s="492"/>
      <c r="P6" s="492"/>
      <c r="Q6" s="492"/>
      <c r="R6" s="492"/>
      <c r="S6" s="492"/>
    </row>
    <row r="7" spans="1:19" ht="15.75">
      <c r="A7" s="28">
        <v>46205</v>
      </c>
      <c r="B7" s="29">
        <v>1442</v>
      </c>
      <c r="C7" s="29" t="s">
        <v>62</v>
      </c>
      <c r="D7" s="29">
        <v>164</v>
      </c>
      <c r="E7" s="29">
        <v>8</v>
      </c>
      <c r="F7" s="29">
        <v>154</v>
      </c>
      <c r="G7" s="29">
        <v>2232</v>
      </c>
      <c r="H7" s="29">
        <v>432</v>
      </c>
      <c r="I7" s="25">
        <f t="shared" ref="I7:I11" si="0">F7/(D7+E7)</f>
        <v>0.89534883720930236</v>
      </c>
      <c r="J7" s="25">
        <f t="shared" ref="J7:J11" si="1">G7/F7</f>
        <v>14.493506493506494</v>
      </c>
      <c r="K7" s="25">
        <f t="shared" ref="K7:K11" si="2">H7/(D7+E7)</f>
        <v>2.5116279069767442</v>
      </c>
      <c r="N7" s="13" t="s">
        <v>49</v>
      </c>
      <c r="O7" s="14">
        <f>K2</f>
        <v>178</v>
      </c>
      <c r="P7" s="15">
        <f>I4</f>
        <v>157.45712169154501</v>
      </c>
      <c r="Q7" s="15">
        <f>J4</f>
        <v>2104.5891817931242</v>
      </c>
      <c r="R7" s="493">
        <f>Q7/P7</f>
        <v>13.366109828401203</v>
      </c>
      <c r="S7" s="493">
        <f>P7/O7</f>
        <v>0.88459057130081464</v>
      </c>
    </row>
    <row r="8" spans="1:19" ht="15.75">
      <c r="A8" s="24">
        <v>46208</v>
      </c>
      <c r="B8" s="23">
        <v>1442</v>
      </c>
      <c r="C8" s="23" t="s">
        <v>62</v>
      </c>
      <c r="D8" s="23">
        <v>177</v>
      </c>
      <c r="E8" s="23">
        <v>7</v>
      </c>
      <c r="F8" s="23">
        <v>161</v>
      </c>
      <c r="G8" s="23">
        <v>2057</v>
      </c>
      <c r="H8" s="23">
        <v>426</v>
      </c>
      <c r="I8" s="25">
        <f t="shared" si="0"/>
        <v>0.875</v>
      </c>
      <c r="J8" s="25">
        <f t="shared" si="1"/>
        <v>12.77639751552795</v>
      </c>
      <c r="K8" s="25">
        <f t="shared" si="2"/>
        <v>2.3152173913043477</v>
      </c>
      <c r="N8" s="13" t="s">
        <v>50</v>
      </c>
      <c r="O8" s="14">
        <f>O7</f>
        <v>178</v>
      </c>
      <c r="P8" s="16">
        <f>O8*S7</f>
        <v>157.45712169154501</v>
      </c>
      <c r="Q8" s="16">
        <f>P8*R7</f>
        <v>2104.5891817931242</v>
      </c>
      <c r="R8" s="492"/>
      <c r="S8" s="492"/>
    </row>
    <row r="9" spans="1:19">
      <c r="A9" s="24">
        <v>46211</v>
      </c>
      <c r="B9" s="23">
        <v>1442</v>
      </c>
      <c r="C9" s="23" t="s">
        <v>62</v>
      </c>
      <c r="D9" s="23">
        <v>171</v>
      </c>
      <c r="E9" s="23">
        <v>2</v>
      </c>
      <c r="F9" s="23">
        <v>153</v>
      </c>
      <c r="G9" s="23">
        <v>1908</v>
      </c>
      <c r="H9" s="23">
        <v>414</v>
      </c>
      <c r="I9" s="25">
        <f t="shared" si="0"/>
        <v>0.88439306358381498</v>
      </c>
      <c r="J9" s="25">
        <f t="shared" si="1"/>
        <v>12.470588235294118</v>
      </c>
      <c r="K9" s="25">
        <f t="shared" si="2"/>
        <v>2.3930635838150289</v>
      </c>
      <c r="N9" s="494" t="s">
        <v>51</v>
      </c>
      <c r="O9" s="495"/>
      <c r="P9" s="495"/>
      <c r="Q9" s="495"/>
      <c r="R9" s="495"/>
      <c r="S9" s="496"/>
    </row>
    <row r="10" spans="1:19">
      <c r="A10" s="24">
        <v>46215</v>
      </c>
      <c r="B10" s="23">
        <v>1442</v>
      </c>
      <c r="C10" s="23" t="s">
        <v>62</v>
      </c>
      <c r="D10" s="23">
        <v>174</v>
      </c>
      <c r="E10" s="23">
        <v>2</v>
      </c>
      <c r="F10" s="23">
        <v>151</v>
      </c>
      <c r="G10" s="23">
        <v>2084</v>
      </c>
      <c r="H10" s="23">
        <v>516</v>
      </c>
      <c r="I10" s="25">
        <f t="shared" si="0"/>
        <v>0.85795454545454541</v>
      </c>
      <c r="J10" s="25">
        <f t="shared" si="1"/>
        <v>13.801324503311259</v>
      </c>
      <c r="K10" s="25">
        <f t="shared" si="2"/>
        <v>2.9318181818181817</v>
      </c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24">
        <v>46218</v>
      </c>
      <c r="B11" s="23">
        <v>1442</v>
      </c>
      <c r="C11" s="23" t="s">
        <v>62</v>
      </c>
      <c r="D11" s="23">
        <v>156</v>
      </c>
      <c r="E11" s="23">
        <v>0</v>
      </c>
      <c r="F11" s="23">
        <v>142</v>
      </c>
      <c r="G11" s="23">
        <v>1887</v>
      </c>
      <c r="H11" s="23">
        <v>359</v>
      </c>
      <c r="I11" s="25">
        <f t="shared" si="0"/>
        <v>0.91025641025641024</v>
      </c>
      <c r="J11" s="25">
        <f t="shared" si="1"/>
        <v>13.288732394366198</v>
      </c>
      <c r="K11" s="25">
        <f t="shared" si="2"/>
        <v>2.3012820512820511</v>
      </c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24"/>
      <c r="B12" s="23"/>
      <c r="C12" s="23"/>
      <c r="D12" s="23"/>
      <c r="E12" s="23"/>
      <c r="F12" s="23"/>
      <c r="G12" s="23"/>
      <c r="H12" s="23"/>
      <c r="I12" s="25"/>
      <c r="J12" s="25"/>
      <c r="K12" s="25"/>
      <c r="N12" s="17">
        <v>1</v>
      </c>
      <c r="O12" s="18">
        <v>0</v>
      </c>
      <c r="P12" s="19">
        <f>O12*R7</f>
        <v>0</v>
      </c>
      <c r="Q12" s="17">
        <v>3</v>
      </c>
      <c r="R12" s="18">
        <v>40</v>
      </c>
      <c r="S12" s="19">
        <f>R12*R7</f>
        <v>534.64439313604817</v>
      </c>
    </row>
    <row r="13" spans="1:19" ht="15.75">
      <c r="A13" s="24"/>
      <c r="B13" s="23"/>
      <c r="C13" s="23"/>
      <c r="D13" s="23"/>
      <c r="E13" s="23"/>
      <c r="F13" s="23"/>
      <c r="G13" s="23"/>
      <c r="H13" s="23"/>
      <c r="I13" s="25"/>
      <c r="J13" s="25"/>
      <c r="K13" s="25"/>
      <c r="N13" s="17">
        <v>2</v>
      </c>
      <c r="O13" s="18">
        <v>0</v>
      </c>
      <c r="P13" s="19">
        <f>O13*R7</f>
        <v>0</v>
      </c>
      <c r="Q13" s="17">
        <v>4</v>
      </c>
      <c r="R13" s="18">
        <v>131</v>
      </c>
      <c r="S13" s="19">
        <f>R7*R13</f>
        <v>1750.9603875205576</v>
      </c>
    </row>
    <row r="14" spans="1:19" ht="15.75">
      <c r="A14" s="24"/>
      <c r="B14" s="23"/>
      <c r="C14" s="23"/>
      <c r="D14" s="23"/>
      <c r="E14" s="23"/>
      <c r="F14" s="23"/>
      <c r="G14" s="23"/>
      <c r="H14" s="23"/>
      <c r="I14" s="25"/>
      <c r="J14" s="25"/>
      <c r="K14" s="25"/>
      <c r="N14" s="17">
        <v>3</v>
      </c>
      <c r="O14" s="18">
        <v>1</v>
      </c>
      <c r="P14" s="19">
        <f>R7*O14</f>
        <v>13.366109828401203</v>
      </c>
      <c r="Q14" s="17">
        <v>5</v>
      </c>
      <c r="R14" s="18">
        <v>0</v>
      </c>
      <c r="S14" s="19">
        <f>R14*R7</f>
        <v>0</v>
      </c>
    </row>
    <row r="15" spans="1:19" ht="15.75">
      <c r="A15" s="24"/>
      <c r="B15" s="23"/>
      <c r="C15" s="391"/>
      <c r="D15" s="23"/>
      <c r="E15" s="23"/>
      <c r="F15" s="23"/>
      <c r="G15" s="23"/>
      <c r="H15" s="23"/>
      <c r="I15" s="25"/>
      <c r="J15" s="25"/>
      <c r="K15" s="25"/>
      <c r="N15" s="17">
        <v>4</v>
      </c>
      <c r="O15" s="18">
        <v>0</v>
      </c>
      <c r="P15" s="19">
        <f>R7*O15</f>
        <v>0</v>
      </c>
      <c r="Q15" s="17">
        <v>1</v>
      </c>
      <c r="R15" s="18">
        <v>0</v>
      </c>
      <c r="S15" s="19">
        <f>R7*R15</f>
        <v>0</v>
      </c>
    </row>
    <row r="16" spans="1:19" ht="15.75">
      <c r="A16" s="24"/>
      <c r="B16" s="23"/>
      <c r="C16" s="23"/>
      <c r="D16" s="23"/>
      <c r="E16" s="23"/>
      <c r="F16" s="23"/>
      <c r="G16" s="23"/>
      <c r="H16" s="23"/>
      <c r="I16" s="25"/>
      <c r="J16" s="25"/>
      <c r="K16" s="25"/>
      <c r="N16" s="17">
        <v>5</v>
      </c>
      <c r="O16" s="18">
        <v>0</v>
      </c>
      <c r="P16" s="19">
        <f>R7*O16</f>
        <v>0</v>
      </c>
      <c r="Q16" s="17"/>
      <c r="R16" s="18">
        <v>0</v>
      </c>
      <c r="S16" s="19">
        <f>R7*R16</f>
        <v>0</v>
      </c>
    </row>
    <row r="17" spans="1:19" ht="15.75">
      <c r="A17" s="24"/>
      <c r="B17" s="23"/>
      <c r="C17" s="23"/>
      <c r="D17" s="23"/>
      <c r="E17" s="23"/>
      <c r="F17" s="23"/>
      <c r="G17" s="23"/>
      <c r="H17" s="23"/>
      <c r="I17" s="25"/>
      <c r="J17" s="25"/>
      <c r="K17" s="25"/>
      <c r="N17" s="17">
        <v>6</v>
      </c>
      <c r="O17" s="18">
        <v>0</v>
      </c>
      <c r="P17" s="19">
        <f>R7*O17</f>
        <v>0</v>
      </c>
      <c r="Q17" s="17"/>
      <c r="R17" s="18">
        <v>0</v>
      </c>
      <c r="S17" s="19">
        <f>R7*R17</f>
        <v>0</v>
      </c>
    </row>
    <row r="18" spans="1:19" ht="15.75">
      <c r="A18" s="24"/>
      <c r="B18" s="23"/>
      <c r="C18" s="23"/>
      <c r="D18" s="23"/>
      <c r="E18" s="23"/>
      <c r="F18" s="23"/>
      <c r="G18" s="23"/>
      <c r="H18" s="23"/>
      <c r="I18" s="25"/>
      <c r="J18" s="25"/>
      <c r="K18" s="25"/>
      <c r="N18" s="17">
        <v>7</v>
      </c>
      <c r="O18" s="18">
        <v>0</v>
      </c>
      <c r="P18" s="19">
        <f>R7*O18</f>
        <v>0</v>
      </c>
      <c r="Q18" s="17"/>
      <c r="R18" s="18">
        <v>0</v>
      </c>
      <c r="S18" s="19">
        <f>R7*R18</f>
        <v>0</v>
      </c>
    </row>
    <row r="19" spans="1:19" ht="15.75">
      <c r="A19" s="24"/>
      <c r="B19" s="23"/>
      <c r="C19" s="23"/>
      <c r="D19" s="23"/>
      <c r="E19" s="23"/>
      <c r="F19" s="23"/>
      <c r="G19" s="23"/>
      <c r="H19" s="23"/>
      <c r="I19" s="25"/>
      <c r="J19" s="25"/>
      <c r="K19" s="25"/>
      <c r="N19" s="17">
        <v>8</v>
      </c>
      <c r="O19" s="18">
        <v>30</v>
      </c>
      <c r="P19" s="19">
        <f>R7*O19</f>
        <v>400.98329485203612</v>
      </c>
      <c r="Q19" s="17"/>
      <c r="R19" s="18">
        <v>0</v>
      </c>
      <c r="S19" s="19">
        <f>R7*R19</f>
        <v>0</v>
      </c>
    </row>
    <row r="20" spans="1:19" ht="15.75">
      <c r="A20" s="24"/>
      <c r="B20" s="23"/>
      <c r="C20" s="23"/>
      <c r="D20" s="23"/>
      <c r="E20" s="23"/>
      <c r="F20" s="23"/>
      <c r="G20" s="23"/>
      <c r="H20" s="23"/>
      <c r="I20" s="25"/>
      <c r="J20" s="25"/>
      <c r="K20" s="25"/>
      <c r="N20" s="17">
        <v>9</v>
      </c>
      <c r="O20" s="18">
        <v>50</v>
      </c>
      <c r="P20" s="19">
        <f>R7*O20</f>
        <v>668.30549142006021</v>
      </c>
      <c r="Q20" s="17"/>
      <c r="R20" s="18">
        <v>0</v>
      </c>
      <c r="S20" s="19">
        <f>R7*R20</f>
        <v>0</v>
      </c>
    </row>
    <row r="21" spans="1:19" ht="15.75" customHeight="1">
      <c r="A21" s="24"/>
      <c r="B21" s="23"/>
      <c r="C21" s="23"/>
      <c r="D21" s="23"/>
      <c r="E21" s="23"/>
      <c r="F21" s="23"/>
      <c r="G21" s="23"/>
      <c r="H21" s="23"/>
      <c r="I21" s="25"/>
      <c r="J21" s="25"/>
      <c r="K21" s="25"/>
      <c r="N21" s="20" t="s">
        <v>53</v>
      </c>
      <c r="O21" s="18">
        <v>50</v>
      </c>
      <c r="P21" s="19">
        <f>R7*O21</f>
        <v>668.30549142006021</v>
      </c>
      <c r="Q21" s="17"/>
      <c r="R21" s="18">
        <v>0</v>
      </c>
      <c r="S21" s="19">
        <f>R7*R21</f>
        <v>0</v>
      </c>
    </row>
    <row r="22" spans="1:19" ht="15.75" customHeight="1">
      <c r="A22" s="24"/>
      <c r="B22" s="23"/>
      <c r="C22" s="23"/>
      <c r="D22" s="23"/>
      <c r="E22" s="23"/>
      <c r="F22" s="23"/>
      <c r="G22" s="23"/>
      <c r="H22" s="23"/>
      <c r="I22" s="25"/>
      <c r="J22" s="25"/>
      <c r="K22" s="25"/>
      <c r="N22" s="13" t="s">
        <v>59</v>
      </c>
      <c r="O22" s="21">
        <f>P8-O12-O13-O14-O15-O16-O17-O18-O19-O20-O21</f>
        <v>26.457121691545012</v>
      </c>
      <c r="P22" s="21">
        <f>Q8-P12-P13-P14-P15-P16-P17-P18-P19-P20-P21</f>
        <v>353.62879427256667</v>
      </c>
      <c r="Q22" s="13" t="s">
        <v>59</v>
      </c>
      <c r="R22" s="21">
        <f>P8-R12-R13-R14-R15-R16-R17-R18-R19-R20-R21</f>
        <v>-13.542878308454988</v>
      </c>
      <c r="S22" s="21">
        <f>Q8-S12-S13-S14-S15-S16-S17-S18-S19-S20-S21</f>
        <v>-181.0155988634815</v>
      </c>
    </row>
    <row r="23" spans="1:19" ht="15.75" customHeight="1">
      <c r="A23" s="24"/>
      <c r="B23" s="23"/>
      <c r="C23" s="23"/>
      <c r="D23" s="23"/>
      <c r="E23" s="23"/>
      <c r="F23" s="23"/>
      <c r="G23" s="23"/>
      <c r="H23" s="23"/>
      <c r="I23" s="25"/>
      <c r="J23" s="25"/>
      <c r="K23" s="25"/>
      <c r="N23" s="13" t="s">
        <v>60</v>
      </c>
      <c r="O23" s="16">
        <f>O12+O13+O14+O15+O16+O17+O18+O19+O20+O21</f>
        <v>131</v>
      </c>
      <c r="P23" s="16">
        <f>P12+P13+P14+P15+P16+P17+P18+P19+P20+P21</f>
        <v>1750.9603875205578</v>
      </c>
      <c r="Q23" s="13" t="s">
        <v>60</v>
      </c>
      <c r="R23" s="16">
        <f>R12+R13+R14+R15+R16+R17+R18+R19+R20+R21</f>
        <v>171</v>
      </c>
      <c r="S23" s="16">
        <f>S12+S13+S14+S15+S16+S17+S18+S19+S20+S21</f>
        <v>2285.6047806566057</v>
      </c>
    </row>
    <row r="24" spans="1:19" ht="15.75" customHeight="1">
      <c r="A24" s="24"/>
      <c r="B24" s="23"/>
      <c r="C24" s="23"/>
      <c r="D24" s="23"/>
      <c r="E24" s="23"/>
      <c r="F24" s="23"/>
      <c r="G24" s="23"/>
      <c r="H24" s="23"/>
      <c r="I24" s="25"/>
      <c r="J24" s="25"/>
      <c r="K24" s="25"/>
    </row>
    <row r="25" spans="1:19" ht="15.75" customHeight="1">
      <c r="A25" s="24"/>
      <c r="B25" s="23"/>
      <c r="C25" s="23"/>
      <c r="D25" s="23"/>
      <c r="E25" s="23"/>
      <c r="F25" s="23"/>
      <c r="G25" s="23"/>
      <c r="H25" s="23"/>
      <c r="I25" s="25"/>
      <c r="J25" s="25"/>
      <c r="K25" s="25"/>
    </row>
    <row r="26" spans="1:19" ht="15.75" customHeight="1">
      <c r="A26" s="24"/>
      <c r="B26" s="23"/>
      <c r="C26" s="23"/>
      <c r="D26" s="23"/>
      <c r="E26" s="23"/>
      <c r="F26" s="23"/>
      <c r="G26" s="23"/>
      <c r="H26" s="23"/>
      <c r="I26" s="25"/>
      <c r="J26" s="25"/>
      <c r="K26" s="25"/>
    </row>
    <row r="27" spans="1:19" ht="15.75" customHeight="1">
      <c r="A27" s="24"/>
      <c r="B27" s="23"/>
      <c r="C27" s="23"/>
      <c r="D27" s="23"/>
      <c r="E27" s="23"/>
      <c r="F27" s="23"/>
      <c r="G27" s="23"/>
      <c r="H27" s="23"/>
      <c r="I27" s="25"/>
      <c r="J27" s="25"/>
      <c r="K27" s="25"/>
    </row>
    <row r="28" spans="1:19" ht="15.75" customHeight="1">
      <c r="A28" s="24"/>
      <c r="B28" s="23"/>
      <c r="C28" s="23"/>
      <c r="D28" s="23"/>
      <c r="E28" s="23"/>
      <c r="F28" s="23"/>
      <c r="G28" s="23"/>
      <c r="H28" s="23"/>
      <c r="I28" s="25"/>
      <c r="J28" s="25"/>
      <c r="K28" s="25"/>
    </row>
    <row r="29" spans="1:19" ht="15.75" customHeight="1">
      <c r="A29" s="24"/>
      <c r="B29" s="23"/>
      <c r="C29" s="23"/>
      <c r="D29" s="23"/>
      <c r="E29" s="23"/>
      <c r="F29" s="23"/>
      <c r="G29" s="23"/>
      <c r="H29" s="23"/>
      <c r="I29" s="25"/>
      <c r="J29" s="25"/>
      <c r="K29" s="25"/>
    </row>
    <row r="30" spans="1:19" ht="15.75" customHeight="1">
      <c r="A30" s="24"/>
      <c r="B30" s="23"/>
      <c r="C30" s="23"/>
      <c r="D30" s="23"/>
      <c r="E30" s="23"/>
      <c r="F30" s="23"/>
      <c r="G30" s="23"/>
      <c r="H30" s="23"/>
      <c r="I30" s="25"/>
      <c r="J30" s="25"/>
      <c r="K30" s="25"/>
    </row>
    <row r="31" spans="1:19" ht="15.75" customHeight="1">
      <c r="A31" s="24"/>
      <c r="B31" s="23"/>
      <c r="C31" s="23"/>
      <c r="D31" s="23"/>
      <c r="E31" s="23"/>
      <c r="F31" s="23"/>
      <c r="G31" s="23"/>
      <c r="H31" s="23"/>
      <c r="I31" s="25"/>
      <c r="J31" s="25"/>
      <c r="K31" s="25"/>
    </row>
    <row r="32" spans="1:19" ht="15.75" customHeight="1">
      <c r="A32" s="24"/>
      <c r="B32" s="23"/>
      <c r="C32" s="23"/>
      <c r="D32" s="23"/>
      <c r="E32" s="23"/>
      <c r="F32" s="23"/>
      <c r="G32" s="23"/>
      <c r="H32" s="23"/>
      <c r="I32" s="25"/>
      <c r="J32" s="25"/>
      <c r="K32" s="25"/>
    </row>
    <row r="33" spans="1:11" ht="15.75" customHeight="1">
      <c r="A33" s="24"/>
      <c r="B33" s="23"/>
      <c r="C33" s="23"/>
      <c r="D33" s="23"/>
      <c r="E33" s="23"/>
      <c r="F33" s="23"/>
      <c r="G33" s="23"/>
      <c r="H33" s="23"/>
      <c r="I33" s="25"/>
      <c r="J33" s="25"/>
      <c r="K33" s="25"/>
    </row>
    <row r="34" spans="1:11" ht="15.75" customHeight="1">
      <c r="A34" s="24"/>
      <c r="B34" s="23"/>
      <c r="C34" s="23"/>
      <c r="D34" s="23"/>
      <c r="E34" s="23"/>
      <c r="F34" s="23"/>
      <c r="G34" s="23"/>
      <c r="H34" s="23"/>
      <c r="I34" s="25"/>
      <c r="J34" s="25"/>
      <c r="K34" s="25"/>
    </row>
    <row r="35" spans="1:11" ht="15.75" customHeight="1">
      <c r="A35" s="24"/>
      <c r="B35" s="23"/>
      <c r="C35" s="23"/>
      <c r="D35" s="23"/>
      <c r="E35" s="23"/>
      <c r="F35" s="23"/>
      <c r="G35" s="23"/>
      <c r="H35" s="23"/>
      <c r="I35" s="25"/>
      <c r="J35" s="25"/>
      <c r="K35" s="25"/>
    </row>
    <row r="36" spans="1:11" ht="15.75" customHeight="1"/>
    <row r="37" spans="1:11" ht="15.75" customHeight="1"/>
    <row r="38" spans="1:11" ht="15.75" customHeight="1"/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7"/>
      <c r="O55" s="7"/>
      <c r="P55" s="7"/>
      <c r="Q55" s="7"/>
      <c r="R55" s="7"/>
      <c r="S55" s="7"/>
    </row>
    <row r="56" spans="14:19" ht="15.75" customHeight="1">
      <c r="N56" s="22"/>
      <c r="O56" s="22"/>
      <c r="P56" s="22"/>
      <c r="Q56" s="22"/>
      <c r="R56" s="22"/>
      <c r="S56" s="2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sheetProtection password="CC6F" sheet="1" objects="1" scenarios="1"/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35"/>
  <sheetViews>
    <sheetView workbookViewId="0">
      <selection activeCell="K11" sqref="K11"/>
    </sheetView>
  </sheetViews>
  <sheetFormatPr defaultRowHeight="15"/>
  <cols>
    <col min="1" max="1" width="11.140625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178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39</v>
      </c>
      <c r="B4" s="2" t="s">
        <v>29</v>
      </c>
      <c r="C4" s="500">
        <f>AVERAGEA(I7:I40)</f>
        <v>0.85071578752664412</v>
      </c>
      <c r="D4" s="501"/>
      <c r="E4" s="500">
        <f>AVERAGEA(J7:J40)</f>
        <v>12.511069715656047</v>
      </c>
      <c r="F4" s="501"/>
      <c r="G4" s="500">
        <f>AVERAGEA(K7:K40)</f>
        <v>2.5381992430338491</v>
      </c>
      <c r="H4" s="501"/>
      <c r="I4" s="3">
        <f>C4*K2</f>
        <v>151.42741017974265</v>
      </c>
      <c r="J4" s="3">
        <f>I4*E4</f>
        <v>1894.5188856200045</v>
      </c>
      <c r="K4" s="3">
        <f>K2*G4</f>
        <v>451.79946526002516</v>
      </c>
    </row>
    <row r="5" spans="1:19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  <c r="N6" s="492"/>
      <c r="O6" s="492"/>
      <c r="P6" s="492"/>
      <c r="Q6" s="492"/>
      <c r="R6" s="492"/>
      <c r="S6" s="492"/>
    </row>
    <row r="7" spans="1:19" ht="15.75">
      <c r="A7" s="28">
        <v>46205</v>
      </c>
      <c r="B7" s="29">
        <v>1428</v>
      </c>
      <c r="C7" s="29" t="s">
        <v>62</v>
      </c>
      <c r="D7" s="29">
        <v>158</v>
      </c>
      <c r="E7" s="29">
        <v>4</v>
      </c>
      <c r="F7" s="29">
        <v>139</v>
      </c>
      <c r="G7" s="29">
        <v>1654</v>
      </c>
      <c r="H7" s="29">
        <v>348</v>
      </c>
      <c r="I7" s="25">
        <f t="shared" ref="I7:I9" si="0">F7/(D7+E7)</f>
        <v>0.85802469135802473</v>
      </c>
      <c r="J7" s="25">
        <f t="shared" ref="J7:J9" si="1">G7/F7</f>
        <v>11.899280575539569</v>
      </c>
      <c r="K7" s="25">
        <f t="shared" ref="K7:K9" si="2">H7/(D7+E7)</f>
        <v>2.1481481481481484</v>
      </c>
      <c r="N7" s="13" t="s">
        <v>49</v>
      </c>
      <c r="O7" s="14">
        <f>K2</f>
        <v>178</v>
      </c>
      <c r="P7" s="15">
        <f>I4</f>
        <v>151.42741017974265</v>
      </c>
      <c r="Q7" s="15">
        <f>J4</f>
        <v>1894.5188856200045</v>
      </c>
      <c r="R7" s="493">
        <f>Q7/P7</f>
        <v>12.511069715656047</v>
      </c>
      <c r="S7" s="493">
        <f>P7/O7</f>
        <v>0.85071578752664412</v>
      </c>
    </row>
    <row r="8" spans="1:19" ht="15.75">
      <c r="A8" s="24">
        <v>46212</v>
      </c>
      <c r="B8" s="23">
        <v>1428</v>
      </c>
      <c r="C8" s="23" t="s">
        <v>62</v>
      </c>
      <c r="D8" s="23">
        <v>127</v>
      </c>
      <c r="E8" s="23">
        <v>4</v>
      </c>
      <c r="F8" s="23">
        <v>112</v>
      </c>
      <c r="G8" s="23">
        <v>1457</v>
      </c>
      <c r="H8" s="23">
        <v>357</v>
      </c>
      <c r="I8" s="25">
        <f t="shared" si="0"/>
        <v>0.85496183206106868</v>
      </c>
      <c r="J8" s="25">
        <f t="shared" si="1"/>
        <v>13.008928571428571</v>
      </c>
      <c r="K8" s="25">
        <f t="shared" si="2"/>
        <v>2.7251908396946565</v>
      </c>
      <c r="N8" s="13" t="s">
        <v>50</v>
      </c>
      <c r="O8" s="14">
        <f>O7</f>
        <v>178</v>
      </c>
      <c r="P8" s="16">
        <f>O8*S7</f>
        <v>151.42741017974265</v>
      </c>
      <c r="Q8" s="16">
        <f>P8*R7</f>
        <v>1894.5188856200045</v>
      </c>
      <c r="R8" s="492"/>
      <c r="S8" s="492"/>
    </row>
    <row r="9" spans="1:19">
      <c r="A9" s="24">
        <v>46219</v>
      </c>
      <c r="B9" s="23">
        <v>1428</v>
      </c>
      <c r="C9" s="23" t="s">
        <v>62</v>
      </c>
      <c r="D9" s="23">
        <v>141</v>
      </c>
      <c r="E9" s="23">
        <v>2</v>
      </c>
      <c r="F9" s="23">
        <v>120</v>
      </c>
      <c r="G9" s="23">
        <v>1515</v>
      </c>
      <c r="H9" s="23">
        <v>392</v>
      </c>
      <c r="I9" s="25">
        <f t="shared" si="0"/>
        <v>0.83916083916083917</v>
      </c>
      <c r="J9" s="25">
        <f t="shared" si="1"/>
        <v>12.625</v>
      </c>
      <c r="K9" s="25">
        <f t="shared" si="2"/>
        <v>2.7412587412587412</v>
      </c>
      <c r="N9" s="494" t="s">
        <v>51</v>
      </c>
      <c r="O9" s="495"/>
      <c r="P9" s="495"/>
      <c r="Q9" s="495"/>
      <c r="R9" s="495"/>
      <c r="S9" s="496"/>
    </row>
    <row r="10" spans="1:19">
      <c r="A10" s="24"/>
      <c r="B10" s="23"/>
      <c r="C10" s="23"/>
      <c r="D10" s="23"/>
      <c r="E10" s="23"/>
      <c r="F10" s="23"/>
      <c r="G10" s="23"/>
      <c r="H10" s="23"/>
      <c r="I10" s="25"/>
      <c r="J10" s="25"/>
      <c r="K10" s="25"/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24"/>
      <c r="B11" s="23"/>
      <c r="C11" s="23"/>
      <c r="D11" s="23"/>
      <c r="E11" s="23"/>
      <c r="F11" s="23"/>
      <c r="G11" s="23"/>
      <c r="H11" s="23"/>
      <c r="I11" s="25"/>
      <c r="J11" s="25"/>
      <c r="K11" s="25"/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24"/>
      <c r="B12" s="23"/>
      <c r="C12" s="23"/>
      <c r="D12" s="23"/>
      <c r="E12" s="23"/>
      <c r="F12" s="23"/>
      <c r="G12" s="23"/>
      <c r="H12" s="23"/>
      <c r="I12" s="25"/>
      <c r="J12" s="25"/>
      <c r="K12" s="25"/>
      <c r="N12" s="17">
        <v>1</v>
      </c>
      <c r="O12" s="18">
        <v>0</v>
      </c>
      <c r="P12" s="19">
        <f>O12*R7</f>
        <v>0</v>
      </c>
      <c r="Q12" s="17">
        <v>3</v>
      </c>
      <c r="R12" s="18">
        <v>40</v>
      </c>
      <c r="S12" s="19">
        <f>R12*R7</f>
        <v>500.44278862624191</v>
      </c>
    </row>
    <row r="13" spans="1:19" ht="15.75">
      <c r="A13" s="24"/>
      <c r="B13" s="23"/>
      <c r="C13" s="23"/>
      <c r="D13" s="23"/>
      <c r="E13" s="23"/>
      <c r="F13" s="23"/>
      <c r="G13" s="23"/>
      <c r="H13" s="23"/>
      <c r="I13" s="25"/>
      <c r="J13" s="25"/>
      <c r="K13" s="25"/>
      <c r="N13" s="17">
        <v>2</v>
      </c>
      <c r="O13" s="18">
        <v>0</v>
      </c>
      <c r="P13" s="19">
        <f>O13*R7</f>
        <v>0</v>
      </c>
      <c r="Q13" s="17">
        <v>4</v>
      </c>
      <c r="R13" s="18">
        <v>131</v>
      </c>
      <c r="S13" s="19">
        <f>R7*R13</f>
        <v>1638.9501327509422</v>
      </c>
    </row>
    <row r="14" spans="1:19" ht="15.75">
      <c r="A14" s="24"/>
      <c r="B14" s="23"/>
      <c r="C14" s="23"/>
      <c r="D14" s="23"/>
      <c r="E14" s="23"/>
      <c r="F14" s="23"/>
      <c r="G14" s="23"/>
      <c r="H14" s="23"/>
      <c r="I14" s="25"/>
      <c r="J14" s="25"/>
      <c r="K14" s="25"/>
      <c r="N14" s="17">
        <v>3</v>
      </c>
      <c r="O14" s="18">
        <v>1</v>
      </c>
      <c r="P14" s="19">
        <f>R7*O14</f>
        <v>12.511069715656047</v>
      </c>
      <c r="Q14" s="17">
        <v>5</v>
      </c>
      <c r="R14" s="18">
        <v>0</v>
      </c>
      <c r="S14" s="19">
        <f>R14*R7</f>
        <v>0</v>
      </c>
    </row>
    <row r="15" spans="1:19" ht="15.75">
      <c r="A15" s="24"/>
      <c r="B15" s="23"/>
      <c r="C15" s="365"/>
      <c r="D15" s="23"/>
      <c r="E15" s="23"/>
      <c r="F15" s="23"/>
      <c r="G15" s="23"/>
      <c r="H15" s="23"/>
      <c r="I15" s="25"/>
      <c r="J15" s="25"/>
      <c r="K15" s="25"/>
      <c r="N15" s="17">
        <v>4</v>
      </c>
      <c r="O15" s="18">
        <v>0</v>
      </c>
      <c r="P15" s="19">
        <f>R7*O15</f>
        <v>0</v>
      </c>
      <c r="Q15" s="17">
        <v>1</v>
      </c>
      <c r="R15" s="18">
        <v>0</v>
      </c>
      <c r="S15" s="19">
        <f>R7*R15</f>
        <v>0</v>
      </c>
    </row>
    <row r="16" spans="1:19" ht="15.75">
      <c r="A16" s="24"/>
      <c r="B16" s="23"/>
      <c r="C16" s="23"/>
      <c r="D16" s="23"/>
      <c r="E16" s="23"/>
      <c r="F16" s="23"/>
      <c r="G16" s="23"/>
      <c r="H16" s="23"/>
      <c r="I16" s="25"/>
      <c r="J16" s="25"/>
      <c r="K16" s="25"/>
      <c r="N16" s="17">
        <v>5</v>
      </c>
      <c r="O16" s="18">
        <v>0</v>
      </c>
      <c r="P16" s="19">
        <f>R7*O16</f>
        <v>0</v>
      </c>
      <c r="Q16" s="17"/>
      <c r="R16" s="18">
        <v>0</v>
      </c>
      <c r="S16" s="19">
        <f>R7*R16</f>
        <v>0</v>
      </c>
    </row>
    <row r="17" spans="1:19" ht="15.75">
      <c r="A17" s="24"/>
      <c r="B17" s="23"/>
      <c r="C17" s="23"/>
      <c r="D17" s="23"/>
      <c r="E17" s="23"/>
      <c r="F17" s="23"/>
      <c r="G17" s="23"/>
      <c r="H17" s="23"/>
      <c r="I17" s="25"/>
      <c r="J17" s="25"/>
      <c r="K17" s="25"/>
      <c r="N17" s="17">
        <v>6</v>
      </c>
      <c r="O17" s="18">
        <v>0</v>
      </c>
      <c r="P17" s="19">
        <f>R7*O17</f>
        <v>0</v>
      </c>
      <c r="Q17" s="17"/>
      <c r="R17" s="18">
        <v>0</v>
      </c>
      <c r="S17" s="19">
        <f>R7*R17</f>
        <v>0</v>
      </c>
    </row>
    <row r="18" spans="1:19" ht="15.75">
      <c r="A18" s="24"/>
      <c r="B18" s="23"/>
      <c r="C18" s="23"/>
      <c r="D18" s="23"/>
      <c r="E18" s="23"/>
      <c r="F18" s="23"/>
      <c r="G18" s="23"/>
      <c r="H18" s="23"/>
      <c r="I18" s="25"/>
      <c r="J18" s="25"/>
      <c r="K18" s="25"/>
      <c r="N18" s="17">
        <v>7</v>
      </c>
      <c r="O18" s="18">
        <v>0</v>
      </c>
      <c r="P18" s="19">
        <f>R7*O18</f>
        <v>0</v>
      </c>
      <c r="Q18" s="17"/>
      <c r="R18" s="18">
        <v>0</v>
      </c>
      <c r="S18" s="19">
        <f>R7*R18</f>
        <v>0</v>
      </c>
    </row>
    <row r="19" spans="1:19" ht="15.75">
      <c r="A19" s="24"/>
      <c r="B19" s="23"/>
      <c r="C19" s="23"/>
      <c r="D19" s="23"/>
      <c r="E19" s="23"/>
      <c r="F19" s="23"/>
      <c r="G19" s="23"/>
      <c r="H19" s="23"/>
      <c r="I19" s="25"/>
      <c r="J19" s="25"/>
      <c r="K19" s="25"/>
      <c r="N19" s="17">
        <v>8</v>
      </c>
      <c r="O19" s="18">
        <v>30</v>
      </c>
      <c r="P19" s="19">
        <f>R7*O19</f>
        <v>375.33209146968142</v>
      </c>
      <c r="Q19" s="17"/>
      <c r="R19" s="18">
        <v>0</v>
      </c>
      <c r="S19" s="19">
        <f>R7*R19</f>
        <v>0</v>
      </c>
    </row>
    <row r="20" spans="1:19" ht="15.75">
      <c r="A20" s="24"/>
      <c r="B20" s="23"/>
      <c r="C20" s="23"/>
      <c r="D20" s="23"/>
      <c r="E20" s="23"/>
      <c r="F20" s="23"/>
      <c r="G20" s="23"/>
      <c r="H20" s="23"/>
      <c r="I20" s="25"/>
      <c r="J20" s="25"/>
      <c r="K20" s="25"/>
      <c r="N20" s="17">
        <v>9</v>
      </c>
      <c r="O20" s="18">
        <v>50</v>
      </c>
      <c r="P20" s="19">
        <f>R7*O20</f>
        <v>625.55348578280234</v>
      </c>
      <c r="Q20" s="17"/>
      <c r="R20" s="18">
        <v>0</v>
      </c>
      <c r="S20" s="19">
        <f>R7*R20</f>
        <v>0</v>
      </c>
    </row>
    <row r="21" spans="1:19" ht="15.75">
      <c r="A21" s="24"/>
      <c r="B21" s="23"/>
      <c r="C21" s="23"/>
      <c r="D21" s="23"/>
      <c r="E21" s="23"/>
      <c r="F21" s="23"/>
      <c r="G21" s="23"/>
      <c r="H21" s="23"/>
      <c r="I21" s="25"/>
      <c r="J21" s="25"/>
      <c r="K21" s="25"/>
      <c r="N21" s="20" t="s">
        <v>53</v>
      </c>
      <c r="O21" s="18">
        <v>50</v>
      </c>
      <c r="P21" s="19">
        <f>R7*O21</f>
        <v>625.55348578280234</v>
      </c>
      <c r="Q21" s="17"/>
      <c r="R21" s="18">
        <v>0</v>
      </c>
      <c r="S21" s="19">
        <f>R7*R21</f>
        <v>0</v>
      </c>
    </row>
    <row r="22" spans="1:19" ht="15.75">
      <c r="A22" s="24"/>
      <c r="B22" s="23"/>
      <c r="C22" s="23"/>
      <c r="D22" s="23"/>
      <c r="E22" s="23"/>
      <c r="F22" s="23"/>
      <c r="G22" s="23"/>
      <c r="H22" s="23"/>
      <c r="I22" s="25"/>
      <c r="J22" s="25"/>
      <c r="K22" s="25"/>
      <c r="N22" s="13" t="s">
        <v>59</v>
      </c>
      <c r="O22" s="21">
        <f>P8-O12-O13-O14-O15-O16-O17-O18-O19-O20-O21</f>
        <v>20.427410179742651</v>
      </c>
      <c r="P22" s="21">
        <f>Q8-P12-P13-P14-P15-P16-P17-P18-P19-P20-P21</f>
        <v>255.56875286906234</v>
      </c>
      <c r="Q22" s="13" t="s">
        <v>59</v>
      </c>
      <c r="R22" s="21">
        <f>P8-R12-R13-R14-R15-R16-R17-R18-R19-R20-R21</f>
        <v>-19.572589820257349</v>
      </c>
      <c r="S22" s="21">
        <f>Q8-S12-S13-S14-S15-S16-S17-S18-S19-S20-S21</f>
        <v>-244.87403575717963</v>
      </c>
    </row>
    <row r="23" spans="1:19">
      <c r="A23" s="24"/>
      <c r="B23" s="23"/>
      <c r="C23" s="23"/>
      <c r="D23" s="23"/>
      <c r="E23" s="23"/>
      <c r="F23" s="23"/>
      <c r="G23" s="23"/>
      <c r="H23" s="23"/>
      <c r="I23" s="25"/>
      <c r="J23" s="25"/>
      <c r="K23" s="25"/>
      <c r="N23" s="13" t="s">
        <v>60</v>
      </c>
      <c r="O23" s="16">
        <f>O12+O13+O14+O15+O16+O17+O18+O19+O20+O21</f>
        <v>131</v>
      </c>
      <c r="P23" s="16">
        <f>P12+P13+P14+P15+P16+P17+P18+P19+P20+P21</f>
        <v>1638.950132750942</v>
      </c>
      <c r="Q23" s="13" t="s">
        <v>60</v>
      </c>
      <c r="R23" s="16">
        <f>R12+R13+R14+R15+R16+R17+R18+R19+R20+R21</f>
        <v>171</v>
      </c>
      <c r="S23" s="16">
        <f>S12+S13+S14+S15+S16+S17+S18+S19+S20+S21</f>
        <v>2139.3929213771839</v>
      </c>
    </row>
    <row r="24" spans="1:19">
      <c r="A24" s="24"/>
      <c r="B24" s="23"/>
      <c r="C24" s="23"/>
      <c r="D24" s="23"/>
      <c r="E24" s="23"/>
      <c r="F24" s="23"/>
      <c r="G24" s="23"/>
      <c r="H24" s="23"/>
      <c r="I24" s="25"/>
      <c r="J24" s="25"/>
      <c r="K24" s="25"/>
    </row>
    <row r="25" spans="1:19">
      <c r="A25" s="24"/>
      <c r="B25" s="23"/>
      <c r="C25" s="23"/>
      <c r="D25" s="23"/>
      <c r="E25" s="23"/>
      <c r="F25" s="23"/>
      <c r="G25" s="23"/>
      <c r="H25" s="23"/>
      <c r="I25" s="25"/>
      <c r="J25" s="25"/>
      <c r="K25" s="25"/>
    </row>
    <row r="26" spans="1:19">
      <c r="A26" s="24"/>
      <c r="B26" s="23"/>
      <c r="C26" s="23"/>
      <c r="D26" s="23"/>
      <c r="E26" s="23"/>
      <c r="F26" s="23"/>
      <c r="G26" s="23"/>
      <c r="H26" s="23"/>
      <c r="I26" s="25"/>
      <c r="J26" s="25"/>
      <c r="K26" s="25"/>
    </row>
    <row r="27" spans="1:19">
      <c r="A27" s="24"/>
      <c r="B27" s="23"/>
      <c r="C27" s="23"/>
      <c r="D27" s="23"/>
      <c r="E27" s="23"/>
      <c r="F27" s="23"/>
      <c r="G27" s="23"/>
      <c r="H27" s="23"/>
      <c r="I27" s="25"/>
      <c r="J27" s="25"/>
      <c r="K27" s="25"/>
    </row>
    <row r="28" spans="1:19">
      <c r="A28" s="24"/>
      <c r="B28" s="23"/>
      <c r="C28" s="23"/>
      <c r="D28" s="23"/>
      <c r="E28" s="23"/>
      <c r="F28" s="23"/>
      <c r="G28" s="23"/>
      <c r="H28" s="23"/>
      <c r="I28" s="25"/>
      <c r="J28" s="25"/>
      <c r="K28" s="25"/>
    </row>
    <row r="29" spans="1:19">
      <c r="A29" s="24"/>
      <c r="B29" s="23"/>
      <c r="C29" s="23"/>
      <c r="D29" s="23"/>
      <c r="E29" s="23"/>
      <c r="F29" s="23"/>
      <c r="G29" s="23"/>
      <c r="H29" s="23"/>
      <c r="I29" s="25"/>
      <c r="J29" s="25"/>
      <c r="K29" s="25"/>
    </row>
    <row r="30" spans="1:19">
      <c r="A30" s="24"/>
      <c r="B30" s="23"/>
      <c r="C30" s="23"/>
      <c r="D30" s="23"/>
      <c r="E30" s="23"/>
      <c r="F30" s="23"/>
      <c r="G30" s="23"/>
      <c r="H30" s="23"/>
      <c r="I30" s="25"/>
      <c r="J30" s="25"/>
      <c r="K30" s="25"/>
    </row>
    <row r="31" spans="1:19">
      <c r="A31" s="24"/>
      <c r="B31" s="23"/>
      <c r="C31" s="23"/>
      <c r="D31" s="23"/>
      <c r="E31" s="23"/>
      <c r="F31" s="23"/>
      <c r="G31" s="23"/>
      <c r="H31" s="23"/>
      <c r="I31" s="25"/>
      <c r="J31" s="25"/>
      <c r="K31" s="25"/>
    </row>
    <row r="32" spans="1:19">
      <c r="A32" s="24"/>
      <c r="B32" s="23"/>
      <c r="C32" s="23"/>
      <c r="D32" s="23"/>
      <c r="E32" s="23"/>
      <c r="F32" s="23"/>
      <c r="G32" s="23"/>
      <c r="H32" s="23"/>
      <c r="I32" s="25"/>
      <c r="J32" s="25"/>
      <c r="K32" s="25"/>
    </row>
    <row r="33" spans="1:11">
      <c r="A33" s="24"/>
      <c r="B33" s="23"/>
      <c r="C33" s="23"/>
      <c r="D33" s="23"/>
      <c r="E33" s="23"/>
      <c r="F33" s="23"/>
      <c r="G33" s="23"/>
      <c r="H33" s="23"/>
      <c r="I33" s="25"/>
      <c r="J33" s="25"/>
      <c r="K33" s="25"/>
    </row>
    <row r="34" spans="1:11">
      <c r="A34" s="24"/>
      <c r="B34" s="23"/>
      <c r="C34" s="23"/>
      <c r="D34" s="23"/>
      <c r="E34" s="23"/>
      <c r="F34" s="23"/>
      <c r="G34" s="23"/>
      <c r="H34" s="23"/>
      <c r="I34" s="25"/>
      <c r="J34" s="25"/>
      <c r="K34" s="25"/>
    </row>
    <row r="35" spans="1:11">
      <c r="A35" s="24"/>
      <c r="B35" s="23"/>
      <c r="C35" s="23"/>
      <c r="D35" s="23"/>
      <c r="E35" s="23"/>
      <c r="F35" s="23"/>
      <c r="G35" s="23"/>
      <c r="H35" s="23"/>
      <c r="I35" s="25"/>
      <c r="J35" s="25"/>
      <c r="K35" s="25"/>
    </row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O5:O6"/>
    <mergeCell ref="N10:P10"/>
    <mergeCell ref="Q10:S10"/>
    <mergeCell ref="Q5:Q6"/>
    <mergeCell ref="R5:R6"/>
    <mergeCell ref="S5:S6"/>
    <mergeCell ref="R7:R8"/>
    <mergeCell ref="S7:S8"/>
    <mergeCell ref="N9:S9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sheetPr codeName="Лист15">
    <outlinePr summaryBelow="0" summaryRight="0"/>
  </sheetPr>
  <dimension ref="A1:S56"/>
  <sheetViews>
    <sheetView workbookViewId="0">
      <selection activeCell="G4" sqref="G4:H4"/>
    </sheetView>
  </sheetViews>
  <sheetFormatPr defaultColWidth="14.42578125" defaultRowHeight="15" customHeight="1"/>
  <cols>
    <col min="1" max="1" width="10.140625" customWidth="1"/>
    <col min="2" max="8" width="8.7109375" customWidth="1"/>
    <col min="9" max="9" width="14" customWidth="1"/>
    <col min="10" max="10" width="15.5703125" customWidth="1"/>
    <col min="11" max="11" width="12.85546875" customWidth="1"/>
    <col min="14" max="14" width="12" customWidth="1"/>
    <col min="15" max="15" width="11.5703125" customWidth="1"/>
    <col min="16" max="16" width="13.5703125" customWidth="1"/>
    <col min="17" max="17" width="12" customWidth="1"/>
    <col min="18" max="18" width="10.42578125" customWidth="1"/>
    <col min="19" max="19" width="12.7109375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120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39</v>
      </c>
      <c r="B4" s="2" t="s">
        <v>80</v>
      </c>
      <c r="C4" s="500">
        <f>AVERAGEA(I7:I51)</f>
        <v>0.9335106382978724</v>
      </c>
      <c r="D4" s="501"/>
      <c r="E4" s="500">
        <f>AVERAGEA(J7:J51)</f>
        <v>15.127863837542307</v>
      </c>
      <c r="F4" s="501"/>
      <c r="G4" s="500">
        <f>AVERAGEA(K7:K51)</f>
        <v>3.3776595744680851</v>
      </c>
      <c r="H4" s="501"/>
      <c r="I4" s="3">
        <f>C4*K2</f>
        <v>112.02127659574469</v>
      </c>
      <c r="J4" s="3">
        <f>I4*E4</f>
        <v>1694.6426192480906</v>
      </c>
      <c r="K4" s="3">
        <f>K2*G4</f>
        <v>405.31914893617022</v>
      </c>
    </row>
    <row r="5" spans="1:19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2"/>
      <c r="B6" s="492"/>
      <c r="C6" s="492"/>
      <c r="D6" s="492"/>
      <c r="E6" s="492"/>
      <c r="F6" s="4" t="s">
        <v>20</v>
      </c>
      <c r="G6" s="5" t="s">
        <v>21</v>
      </c>
      <c r="H6" s="492"/>
      <c r="I6" s="492"/>
      <c r="J6" s="492"/>
      <c r="K6" s="492"/>
      <c r="N6" s="492"/>
      <c r="O6" s="492"/>
      <c r="P6" s="492"/>
      <c r="Q6" s="492"/>
      <c r="R6" s="492"/>
      <c r="S6" s="492"/>
    </row>
    <row r="7" spans="1:19" ht="15.75">
      <c r="A7" s="11">
        <v>45112</v>
      </c>
      <c r="B7" s="12" t="s">
        <v>40</v>
      </c>
      <c r="C7" s="12" t="s">
        <v>23</v>
      </c>
      <c r="D7" s="12">
        <v>82</v>
      </c>
      <c r="E7" s="12">
        <v>12</v>
      </c>
      <c r="F7" s="12">
        <v>92</v>
      </c>
      <c r="G7" s="12">
        <v>1387</v>
      </c>
      <c r="H7" s="12">
        <v>284</v>
      </c>
      <c r="I7" s="6">
        <f>F7/(D7+E7)</f>
        <v>0.97872340425531912</v>
      </c>
      <c r="J7" s="6">
        <f>G7/F7</f>
        <v>15.076086956521738</v>
      </c>
      <c r="K7" s="6">
        <f>H7/(D7+E7)</f>
        <v>3.021276595744681</v>
      </c>
      <c r="N7" s="13" t="s">
        <v>49</v>
      </c>
      <c r="O7" s="14">
        <f>K2</f>
        <v>120</v>
      </c>
      <c r="P7" s="15">
        <f>I4</f>
        <v>112.02127659574469</v>
      </c>
      <c r="Q7" s="15">
        <f>J4</f>
        <v>1694.6426192480906</v>
      </c>
      <c r="R7" s="493">
        <f>Q7/P7</f>
        <v>15.127863837542307</v>
      </c>
      <c r="S7" s="493">
        <f>P7/O7</f>
        <v>0.93351063829787251</v>
      </c>
    </row>
    <row r="8" spans="1:19" ht="15.75">
      <c r="A8" s="11">
        <v>45119</v>
      </c>
      <c r="B8" s="12" t="s">
        <v>40</v>
      </c>
      <c r="C8" s="12" t="s">
        <v>23</v>
      </c>
      <c r="D8" s="12">
        <v>148</v>
      </c>
      <c r="E8" s="12">
        <v>40</v>
      </c>
      <c r="F8" s="12">
        <v>167</v>
      </c>
      <c r="G8" s="12">
        <v>2535</v>
      </c>
      <c r="H8" s="12">
        <v>702</v>
      </c>
      <c r="I8" s="6">
        <f>F8/(D8+E8)</f>
        <v>0.88829787234042556</v>
      </c>
      <c r="J8" s="6">
        <f>G8/F8</f>
        <v>15.179640718562874</v>
      </c>
      <c r="K8" s="6">
        <f>H8/(D8+E8)</f>
        <v>3.7340425531914891</v>
      </c>
      <c r="N8" s="13" t="s">
        <v>50</v>
      </c>
      <c r="O8" s="14">
        <f>O7</f>
        <v>120</v>
      </c>
      <c r="P8" s="16">
        <f>O8*S7</f>
        <v>112.02127659574469</v>
      </c>
      <c r="Q8" s="16">
        <f>P8*R7</f>
        <v>1694.6426192480906</v>
      </c>
      <c r="R8" s="492"/>
      <c r="S8" s="492"/>
    </row>
    <row r="9" spans="1:19">
      <c r="A9" s="11"/>
      <c r="B9" s="12"/>
      <c r="C9" s="12"/>
      <c r="D9" s="12"/>
      <c r="E9" s="12"/>
      <c r="F9" s="12"/>
      <c r="G9" s="12"/>
      <c r="H9" s="12"/>
      <c r="I9" s="6"/>
      <c r="J9" s="6"/>
      <c r="K9" s="6"/>
      <c r="N9" s="494" t="s">
        <v>51</v>
      </c>
      <c r="O9" s="495"/>
      <c r="P9" s="495"/>
      <c r="Q9" s="495"/>
      <c r="R9" s="495"/>
      <c r="S9" s="496"/>
    </row>
    <row r="10" spans="1:19">
      <c r="A10" s="11"/>
      <c r="B10" s="12"/>
      <c r="C10" s="12"/>
      <c r="D10" s="12"/>
      <c r="E10" s="12"/>
      <c r="F10" s="12"/>
      <c r="G10" s="12"/>
      <c r="H10" s="12"/>
      <c r="I10" s="6"/>
      <c r="J10" s="6"/>
      <c r="K10" s="6"/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11"/>
      <c r="B11" s="12"/>
      <c r="C11" s="12"/>
      <c r="D11" s="12"/>
      <c r="E11" s="12"/>
      <c r="F11" s="12"/>
      <c r="G11" s="12"/>
      <c r="H11" s="12"/>
      <c r="I11" s="6"/>
      <c r="J11" s="6"/>
      <c r="K11" s="6"/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11"/>
      <c r="B12" s="12"/>
      <c r="C12" s="12"/>
      <c r="D12" s="12"/>
      <c r="E12" s="12"/>
      <c r="F12" s="12"/>
      <c r="G12" s="12"/>
      <c r="H12" s="12"/>
      <c r="I12" s="6"/>
      <c r="J12" s="6"/>
      <c r="K12" s="6"/>
      <c r="N12" s="17">
        <v>1</v>
      </c>
      <c r="O12" s="18">
        <v>0</v>
      </c>
      <c r="P12" s="19">
        <f>O12*R7</f>
        <v>0</v>
      </c>
      <c r="Q12" s="17">
        <v>3</v>
      </c>
      <c r="R12" s="18">
        <v>35</v>
      </c>
      <c r="S12" s="19">
        <f>R12*R7</f>
        <v>529.47523431398076</v>
      </c>
    </row>
    <row r="13" spans="1:19" ht="15.75">
      <c r="A13" s="11"/>
      <c r="B13" s="12"/>
      <c r="C13" s="12"/>
      <c r="D13" s="12"/>
      <c r="E13" s="12"/>
      <c r="F13" s="12"/>
      <c r="G13" s="12"/>
      <c r="H13" s="12"/>
      <c r="I13" s="6"/>
      <c r="J13" s="6"/>
      <c r="K13" s="6"/>
      <c r="N13" s="17">
        <v>2</v>
      </c>
      <c r="O13" s="18">
        <v>0</v>
      </c>
      <c r="P13" s="19">
        <f>O13*R7</f>
        <v>0</v>
      </c>
      <c r="Q13" s="17">
        <v>4</v>
      </c>
      <c r="R13" s="18">
        <v>18</v>
      </c>
      <c r="S13" s="19">
        <f>R7*R13</f>
        <v>272.3015490757615</v>
      </c>
    </row>
    <row r="14" spans="1:19" ht="15.75">
      <c r="A14" s="11"/>
      <c r="B14" s="12"/>
      <c r="C14" s="12"/>
      <c r="D14" s="12"/>
      <c r="E14" s="12"/>
      <c r="F14" s="12"/>
      <c r="G14" s="12"/>
      <c r="H14" s="12"/>
      <c r="I14" s="6"/>
      <c r="J14" s="9"/>
      <c r="K14" s="6"/>
      <c r="N14" s="17">
        <v>3</v>
      </c>
      <c r="O14" s="18">
        <v>1</v>
      </c>
      <c r="P14" s="19">
        <f>R7*O14</f>
        <v>15.127863837542307</v>
      </c>
      <c r="Q14" s="17">
        <v>5</v>
      </c>
      <c r="R14" s="18">
        <v>0</v>
      </c>
      <c r="S14" s="19">
        <f>R14*R7</f>
        <v>0</v>
      </c>
    </row>
    <row r="15" spans="1:19" ht="15.75">
      <c r="A15" s="11"/>
      <c r="B15" s="12"/>
      <c r="C15" s="12"/>
      <c r="D15" s="12"/>
      <c r="E15" s="12"/>
      <c r="F15" s="12"/>
      <c r="G15" s="12"/>
      <c r="H15" s="12"/>
      <c r="I15" s="6"/>
      <c r="J15" s="9"/>
      <c r="K15" s="9"/>
      <c r="N15" s="17">
        <v>4</v>
      </c>
      <c r="O15" s="18">
        <v>0</v>
      </c>
      <c r="P15" s="19">
        <f>R7*O15</f>
        <v>0</v>
      </c>
      <c r="Q15" s="17">
        <v>1</v>
      </c>
      <c r="R15" s="18">
        <v>0</v>
      </c>
      <c r="S15" s="19">
        <f>R7*R15</f>
        <v>0</v>
      </c>
    </row>
    <row r="16" spans="1:19" ht="15.75">
      <c r="A16" s="11"/>
      <c r="B16" s="12"/>
      <c r="C16" s="12"/>
      <c r="D16" s="12"/>
      <c r="E16" s="12"/>
      <c r="F16" s="12"/>
      <c r="G16" s="12"/>
      <c r="H16" s="12"/>
      <c r="I16" s="6"/>
      <c r="J16" s="9"/>
      <c r="K16" s="9"/>
      <c r="N16" s="17">
        <v>5</v>
      </c>
      <c r="O16" s="18">
        <v>0</v>
      </c>
      <c r="P16" s="19">
        <f>R7*O16</f>
        <v>0</v>
      </c>
      <c r="Q16" s="17"/>
      <c r="R16" s="18">
        <v>0</v>
      </c>
      <c r="S16" s="19">
        <f>R7*R16</f>
        <v>0</v>
      </c>
    </row>
    <row r="17" spans="1:19" ht="15.75">
      <c r="A17" s="11"/>
      <c r="B17" s="12"/>
      <c r="C17" s="12"/>
      <c r="D17" s="12"/>
      <c r="E17" s="12"/>
      <c r="F17" s="12"/>
      <c r="G17" s="12"/>
      <c r="H17" s="12"/>
      <c r="I17" s="6"/>
      <c r="J17" s="9"/>
      <c r="K17" s="9"/>
      <c r="N17" s="17">
        <v>6</v>
      </c>
      <c r="O17" s="18">
        <v>0</v>
      </c>
      <c r="P17" s="19">
        <f>R7*O17</f>
        <v>0</v>
      </c>
      <c r="Q17" s="17"/>
      <c r="R17" s="18">
        <v>0</v>
      </c>
      <c r="S17" s="19">
        <f>R7*R17</f>
        <v>0</v>
      </c>
    </row>
    <row r="18" spans="1:19" ht="15.75">
      <c r="A18" s="11"/>
      <c r="B18" s="12"/>
      <c r="C18" s="12"/>
      <c r="D18" s="12"/>
      <c r="E18" s="12"/>
      <c r="F18" s="12"/>
      <c r="G18" s="12"/>
      <c r="H18" s="12"/>
      <c r="I18" s="6"/>
      <c r="J18" s="9"/>
      <c r="K18" s="9"/>
      <c r="N18" s="17">
        <v>7</v>
      </c>
      <c r="O18" s="18">
        <v>0</v>
      </c>
      <c r="P18" s="19">
        <f>R7*O18</f>
        <v>0</v>
      </c>
      <c r="Q18" s="17"/>
      <c r="R18" s="18">
        <v>0</v>
      </c>
      <c r="S18" s="19">
        <f>R7*R18</f>
        <v>0</v>
      </c>
    </row>
    <row r="19" spans="1:19" ht="15.75">
      <c r="A19" s="11"/>
      <c r="B19" s="12"/>
      <c r="C19" s="12"/>
      <c r="D19" s="12"/>
      <c r="E19" s="12"/>
      <c r="F19" s="12"/>
      <c r="G19" s="12"/>
      <c r="H19" s="12"/>
      <c r="I19" s="6"/>
      <c r="J19" s="9"/>
      <c r="K19" s="9"/>
      <c r="N19" s="17">
        <v>8</v>
      </c>
      <c r="O19" s="18">
        <v>30</v>
      </c>
      <c r="P19" s="19">
        <f>R7*O19</f>
        <v>453.83591512626924</v>
      </c>
      <c r="Q19" s="17"/>
      <c r="R19" s="18">
        <v>0</v>
      </c>
      <c r="S19" s="19">
        <f>R7*R19</f>
        <v>0</v>
      </c>
    </row>
    <row r="20" spans="1:19" ht="15.75">
      <c r="A20" s="11"/>
      <c r="B20" s="12"/>
      <c r="C20" s="12"/>
      <c r="D20" s="12"/>
      <c r="E20" s="12"/>
      <c r="F20" s="12"/>
      <c r="G20" s="12"/>
      <c r="H20" s="12"/>
      <c r="I20" s="6"/>
      <c r="J20" s="9"/>
      <c r="K20" s="9"/>
      <c r="N20" s="17">
        <v>9</v>
      </c>
      <c r="O20" s="18">
        <v>50</v>
      </c>
      <c r="P20" s="19">
        <f>R7*O20</f>
        <v>756.39319187711533</v>
      </c>
      <c r="Q20" s="17"/>
      <c r="R20" s="18">
        <v>0</v>
      </c>
      <c r="S20" s="19">
        <f>R7*R20</f>
        <v>0</v>
      </c>
    </row>
    <row r="21" spans="1:19" ht="15.75">
      <c r="A21" s="11"/>
      <c r="B21" s="12"/>
      <c r="C21" s="12"/>
      <c r="D21" s="12"/>
      <c r="E21" s="12"/>
      <c r="F21" s="12"/>
      <c r="G21" s="12"/>
      <c r="H21" s="12"/>
      <c r="I21" s="6"/>
      <c r="J21" s="9"/>
      <c r="K21" s="9"/>
      <c r="N21" s="20" t="s">
        <v>53</v>
      </c>
      <c r="O21" s="18">
        <v>50</v>
      </c>
      <c r="P21" s="19">
        <f>R7*O21</f>
        <v>756.39319187711533</v>
      </c>
      <c r="Q21" s="17"/>
      <c r="R21" s="18"/>
      <c r="S21" s="19">
        <f>R7*R21</f>
        <v>0</v>
      </c>
    </row>
    <row r="22" spans="1:19" ht="15.75">
      <c r="A22" s="11"/>
      <c r="B22" s="12"/>
      <c r="C22" s="12"/>
      <c r="D22" s="12"/>
      <c r="E22" s="12"/>
      <c r="F22" s="12"/>
      <c r="G22" s="12"/>
      <c r="H22" s="12"/>
      <c r="I22" s="6"/>
      <c r="J22" s="9"/>
      <c r="K22" s="9"/>
      <c r="N22" s="13" t="s">
        <v>59</v>
      </c>
      <c r="O22" s="21">
        <f>P8-O12-O13-O14-O15-O16-O17-O18-O19-O20-O21</f>
        <v>-18.978723404255305</v>
      </c>
      <c r="P22" s="21">
        <f>Q8-P12-P13-P14-P15-P16-P17-P18-P19-P20-P21</f>
        <v>-287.10754346995168</v>
      </c>
      <c r="Q22" s="13" t="s">
        <v>59</v>
      </c>
      <c r="R22" s="21">
        <f>P8-R12-R13-R14-R15-R16-R17-R18-R19-R20-R21</f>
        <v>59.021276595744695</v>
      </c>
      <c r="S22" s="21">
        <f>Q8-S12-S13-S14-S15-S16-S17-S18-S19-S20-S21</f>
        <v>892.86583585834831</v>
      </c>
    </row>
    <row r="23" spans="1:19">
      <c r="A23" s="11"/>
      <c r="B23" s="12"/>
      <c r="C23" s="12"/>
      <c r="D23" s="12"/>
      <c r="E23" s="12"/>
      <c r="F23" s="12"/>
      <c r="G23" s="12"/>
      <c r="H23" s="12"/>
      <c r="I23" s="6"/>
      <c r="J23" s="9"/>
      <c r="K23" s="9"/>
      <c r="N23" s="13" t="s">
        <v>60</v>
      </c>
      <c r="O23" s="16">
        <f>O12+O13+O14+O15+O16+O17+O18+O19+O20+O21</f>
        <v>131</v>
      </c>
      <c r="P23" s="16">
        <f>P12+P13+P14+P15+P16+P17+P18+P19+P20+P21</f>
        <v>1981.7501627180422</v>
      </c>
      <c r="Q23" s="13" t="s">
        <v>60</v>
      </c>
      <c r="R23" s="16">
        <f>R12+R13+R14+R15+R16+R17+R18+R19+R20+R21</f>
        <v>53</v>
      </c>
      <c r="S23" s="16">
        <f>S12+S13+S14+S15+S16+S17+S18+S19+S20+S21</f>
        <v>801.77678338974226</v>
      </c>
    </row>
    <row r="24" spans="1:19">
      <c r="A24" s="11"/>
      <c r="B24" s="12"/>
      <c r="C24" s="12"/>
      <c r="D24" s="12"/>
      <c r="E24" s="12"/>
      <c r="F24" s="12"/>
      <c r="G24" s="12"/>
      <c r="H24" s="12"/>
      <c r="I24" s="6"/>
      <c r="J24" s="9"/>
      <c r="K24" s="9"/>
    </row>
    <row r="25" spans="1:19">
      <c r="A25" s="11"/>
      <c r="B25" s="12"/>
      <c r="C25" s="12"/>
      <c r="D25" s="12"/>
      <c r="E25" s="12"/>
      <c r="F25" s="12"/>
      <c r="G25" s="12"/>
      <c r="H25" s="12"/>
      <c r="I25" s="6"/>
      <c r="J25" s="9"/>
      <c r="K25" s="9"/>
    </row>
    <row r="26" spans="1:19">
      <c r="A26" s="11"/>
      <c r="B26" s="12"/>
      <c r="C26" s="12"/>
      <c r="D26" s="12"/>
      <c r="E26" s="12"/>
      <c r="F26" s="12"/>
      <c r="G26" s="12"/>
      <c r="H26" s="12"/>
      <c r="I26" s="6"/>
      <c r="J26" s="9"/>
      <c r="K26" s="9"/>
    </row>
    <row r="27" spans="1:19">
      <c r="A27" s="11"/>
      <c r="B27" s="12"/>
      <c r="C27" s="12"/>
      <c r="D27" s="12"/>
      <c r="E27" s="12"/>
      <c r="F27" s="12"/>
      <c r="G27" s="12"/>
      <c r="H27" s="12"/>
      <c r="I27" s="6"/>
      <c r="J27" s="9"/>
      <c r="K27" s="9"/>
    </row>
    <row r="28" spans="1:19">
      <c r="A28" s="11"/>
      <c r="B28" s="12"/>
      <c r="C28" s="12"/>
      <c r="D28" s="12"/>
      <c r="E28" s="12"/>
      <c r="F28" s="12"/>
      <c r="G28" s="12"/>
      <c r="H28" s="12"/>
      <c r="I28" s="6"/>
      <c r="J28" s="9"/>
      <c r="K28" s="9"/>
    </row>
    <row r="29" spans="1:19">
      <c r="A29" s="11"/>
      <c r="B29" s="12"/>
      <c r="C29" s="12"/>
      <c r="D29" s="12"/>
      <c r="E29" s="12"/>
      <c r="F29" s="12"/>
      <c r="G29" s="12"/>
      <c r="H29" s="12"/>
      <c r="I29" s="6"/>
      <c r="J29" s="9"/>
      <c r="K29" s="9"/>
    </row>
    <row r="30" spans="1:19">
      <c r="A30" s="11"/>
      <c r="B30" s="12"/>
      <c r="C30" s="12"/>
      <c r="D30" s="12"/>
      <c r="E30" s="12"/>
      <c r="F30" s="12"/>
      <c r="G30" s="12"/>
      <c r="H30" s="12"/>
      <c r="I30" s="6"/>
      <c r="J30" s="9"/>
      <c r="K30" s="9"/>
    </row>
    <row r="31" spans="1:19">
      <c r="A31" s="11"/>
      <c r="B31" s="12"/>
      <c r="C31" s="12"/>
      <c r="D31" s="12"/>
      <c r="E31" s="12"/>
      <c r="F31" s="12"/>
      <c r="G31" s="12"/>
      <c r="H31" s="12"/>
      <c r="I31" s="6"/>
      <c r="J31" s="9"/>
      <c r="K31" s="9"/>
    </row>
    <row r="32" spans="1:19">
      <c r="A32" s="11"/>
      <c r="B32" s="12"/>
      <c r="C32" s="12"/>
      <c r="D32" s="12"/>
      <c r="E32" s="12"/>
      <c r="F32" s="12"/>
      <c r="G32" s="12"/>
      <c r="H32" s="12"/>
      <c r="I32" s="6"/>
      <c r="J32" s="9"/>
      <c r="K32" s="9"/>
    </row>
    <row r="33" spans="1:11">
      <c r="A33" s="11"/>
      <c r="B33" s="12"/>
      <c r="C33" s="12"/>
      <c r="D33" s="12"/>
      <c r="E33" s="12"/>
      <c r="F33" s="12"/>
      <c r="G33" s="12"/>
      <c r="H33" s="12"/>
      <c r="I33" s="6"/>
      <c r="J33" s="9"/>
      <c r="K33" s="9"/>
    </row>
    <row r="34" spans="1:11">
      <c r="A34" s="11"/>
      <c r="B34" s="12"/>
      <c r="C34" s="12"/>
      <c r="D34" s="12"/>
      <c r="E34" s="12"/>
      <c r="F34" s="12"/>
      <c r="G34" s="12"/>
      <c r="H34" s="12"/>
      <c r="I34" s="6"/>
      <c r="J34" s="9"/>
      <c r="K34" s="9"/>
    </row>
    <row r="35" spans="1:11">
      <c r="A35" s="11"/>
      <c r="B35" s="12"/>
      <c r="C35" s="12"/>
      <c r="D35" s="12"/>
      <c r="E35" s="12"/>
      <c r="F35" s="12"/>
      <c r="G35" s="12"/>
      <c r="H35" s="12"/>
      <c r="I35" s="6"/>
      <c r="J35" s="9"/>
      <c r="K35" s="9"/>
    </row>
    <row r="36" spans="1:11">
      <c r="A36" s="11"/>
      <c r="B36" s="12"/>
      <c r="C36" s="12"/>
      <c r="D36" s="12"/>
      <c r="E36" s="12"/>
      <c r="F36" s="12"/>
      <c r="G36" s="12"/>
      <c r="H36" s="12"/>
      <c r="I36" s="6"/>
      <c r="J36" s="9"/>
      <c r="K36" s="9"/>
    </row>
    <row r="37" spans="1:11">
      <c r="A37" s="11"/>
      <c r="B37" s="12"/>
      <c r="C37" s="12"/>
      <c r="D37" s="12"/>
      <c r="E37" s="12"/>
      <c r="F37" s="12"/>
      <c r="G37" s="12"/>
      <c r="H37" s="12"/>
      <c r="I37" s="6"/>
      <c r="J37" s="9"/>
      <c r="K37" s="9"/>
    </row>
    <row r="38" spans="1:11">
      <c r="A38" s="11"/>
      <c r="B38" s="12"/>
      <c r="C38" s="12"/>
      <c r="D38" s="12"/>
      <c r="E38" s="12"/>
      <c r="F38" s="12"/>
      <c r="G38" s="12"/>
      <c r="H38" s="12"/>
      <c r="I38" s="6"/>
      <c r="J38" s="9"/>
      <c r="K38" s="9"/>
    </row>
    <row r="39" spans="1:11">
      <c r="A39" s="11"/>
      <c r="B39" s="12"/>
      <c r="C39" s="12"/>
      <c r="D39" s="12"/>
      <c r="E39" s="12"/>
      <c r="F39" s="12"/>
      <c r="G39" s="12"/>
      <c r="H39" s="12"/>
      <c r="I39" s="6"/>
      <c r="J39" s="9"/>
      <c r="K39" s="9"/>
    </row>
    <row r="40" spans="1:11">
      <c r="A40" s="11"/>
      <c r="B40" s="12"/>
      <c r="C40" s="12"/>
      <c r="D40" s="12"/>
      <c r="E40" s="12"/>
      <c r="F40" s="12"/>
      <c r="G40" s="12"/>
      <c r="H40" s="12"/>
      <c r="I40" s="9"/>
      <c r="J40" s="9"/>
      <c r="K40" s="9"/>
    </row>
    <row r="41" spans="1:11">
      <c r="A41" s="11"/>
      <c r="B41" s="12"/>
      <c r="C41" s="12"/>
      <c r="D41" s="12"/>
      <c r="E41" s="12"/>
      <c r="F41" s="12"/>
      <c r="G41" s="12"/>
      <c r="H41" s="12"/>
      <c r="I41" s="9"/>
      <c r="J41" s="9"/>
      <c r="K41" s="9"/>
    </row>
    <row r="42" spans="1:11">
      <c r="A42" s="11"/>
      <c r="B42" s="12"/>
      <c r="C42" s="12"/>
      <c r="D42" s="12"/>
      <c r="E42" s="12"/>
      <c r="F42" s="12"/>
      <c r="G42" s="12"/>
      <c r="H42" s="12"/>
      <c r="I42" s="9"/>
      <c r="J42" s="9"/>
      <c r="K42" s="9"/>
    </row>
    <row r="43" spans="1:11">
      <c r="A43" s="8"/>
      <c r="B43" s="7"/>
      <c r="C43" s="7"/>
      <c r="D43" s="7"/>
      <c r="E43" s="7"/>
      <c r="F43" s="7"/>
      <c r="G43" s="7"/>
      <c r="H43" s="7"/>
      <c r="I43" s="9"/>
      <c r="J43" s="9"/>
      <c r="K43" s="9"/>
    </row>
    <row r="44" spans="1:11">
      <c r="A44" s="8"/>
      <c r="B44" s="7"/>
      <c r="C44" s="7"/>
      <c r="D44" s="7"/>
      <c r="E44" s="7"/>
      <c r="F44" s="7"/>
      <c r="G44" s="7"/>
      <c r="H44" s="7"/>
      <c r="I44" s="9"/>
      <c r="J44" s="9"/>
      <c r="K44" s="9"/>
    </row>
    <row r="45" spans="1:11">
      <c r="A45" s="8"/>
      <c r="B45" s="7"/>
      <c r="C45" s="7"/>
      <c r="D45" s="7"/>
      <c r="E45" s="7"/>
      <c r="F45" s="7"/>
      <c r="G45" s="7"/>
      <c r="H45" s="7"/>
      <c r="I45" s="9"/>
      <c r="J45" s="9"/>
      <c r="K45" s="9"/>
    </row>
    <row r="46" spans="1:11">
      <c r="A46" s="8"/>
      <c r="B46" s="7"/>
      <c r="C46" s="7"/>
      <c r="D46" s="7"/>
      <c r="E46" s="7"/>
      <c r="F46" s="7"/>
      <c r="G46" s="7"/>
      <c r="H46" s="7"/>
      <c r="I46" s="9"/>
      <c r="J46" s="9"/>
      <c r="K46" s="9"/>
    </row>
    <row r="47" spans="1:11">
      <c r="A47" s="8"/>
      <c r="B47" s="7"/>
      <c r="C47" s="7"/>
      <c r="D47" s="7"/>
      <c r="E47" s="7"/>
      <c r="F47" s="7"/>
      <c r="G47" s="7"/>
      <c r="H47" s="7"/>
      <c r="I47" s="9"/>
      <c r="J47" s="9"/>
      <c r="K47" s="9"/>
    </row>
    <row r="48" spans="1:11">
      <c r="A48" s="8"/>
      <c r="B48" s="7"/>
      <c r="C48" s="7"/>
      <c r="D48" s="7"/>
      <c r="E48" s="7"/>
      <c r="F48" s="7"/>
      <c r="G48" s="7"/>
      <c r="H48" s="7"/>
      <c r="I48" s="9"/>
      <c r="J48" s="9"/>
      <c r="K48" s="9"/>
    </row>
    <row r="49" spans="1:19">
      <c r="A49" s="8"/>
      <c r="B49" s="7"/>
      <c r="C49" s="7"/>
      <c r="D49" s="7"/>
      <c r="E49" s="7"/>
      <c r="F49" s="7"/>
      <c r="G49" s="7"/>
      <c r="H49" s="7"/>
      <c r="I49" s="9"/>
      <c r="J49" s="9"/>
      <c r="K49" s="9"/>
    </row>
    <row r="50" spans="1:19">
      <c r="A50" s="7"/>
      <c r="B50" s="7"/>
      <c r="C50" s="7"/>
      <c r="D50" s="7"/>
      <c r="E50" s="7"/>
      <c r="F50" s="7"/>
      <c r="G50" s="7"/>
      <c r="H50" s="7"/>
      <c r="I50" s="9"/>
      <c r="J50" s="9"/>
      <c r="K50" s="9"/>
    </row>
    <row r="51" spans="1:19">
      <c r="A51" s="7"/>
      <c r="B51" s="7"/>
      <c r="C51" s="7"/>
      <c r="D51" s="7"/>
      <c r="E51" s="7"/>
      <c r="F51" s="7"/>
      <c r="G51" s="7"/>
      <c r="H51" s="7"/>
      <c r="I51" s="6"/>
      <c r="J51" s="9"/>
      <c r="K51" s="9"/>
    </row>
    <row r="52" spans="1:19">
      <c r="I52" s="10"/>
    </row>
    <row r="55" spans="1:19">
      <c r="N55" s="7"/>
      <c r="O55" s="7"/>
      <c r="P55" s="7"/>
      <c r="Q55" s="7"/>
      <c r="R55" s="7"/>
      <c r="S55" s="7"/>
    </row>
    <row r="56" spans="1:19" ht="15" customHeight="1">
      <c r="N56" s="22"/>
      <c r="O56" s="22"/>
      <c r="P56" s="22"/>
      <c r="Q56" s="22"/>
      <c r="R56" s="22"/>
      <c r="S56" s="22"/>
    </row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O5:O6"/>
    <mergeCell ref="N10:P10"/>
    <mergeCell ref="Q10:S10"/>
    <mergeCell ref="Q5:Q6"/>
    <mergeCell ref="R5:R6"/>
    <mergeCell ref="S5:S6"/>
    <mergeCell ref="R7:R8"/>
    <mergeCell ref="S7:S8"/>
    <mergeCell ref="N9:S9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sheetPr codeName="Лист16"/>
  <dimension ref="A1:S1000"/>
  <sheetViews>
    <sheetView workbookViewId="0">
      <selection activeCell="K7" sqref="K7:K8"/>
    </sheetView>
  </sheetViews>
  <sheetFormatPr defaultColWidth="14.42578125" defaultRowHeight="15" customHeight="1"/>
  <cols>
    <col min="1" max="1" width="10.140625" customWidth="1"/>
    <col min="2" max="8" width="8.7109375" customWidth="1"/>
    <col min="9" max="9" width="14" customWidth="1"/>
    <col min="10" max="10" width="15.5703125" customWidth="1"/>
    <col min="11" max="11" width="12.85546875" customWidth="1"/>
    <col min="12" max="13" width="8.7109375" customWidth="1"/>
    <col min="14" max="14" width="12" customWidth="1"/>
    <col min="15" max="15" width="11.5703125" customWidth="1"/>
    <col min="16" max="16" width="13.5703125" customWidth="1"/>
    <col min="17" max="17" width="12" customWidth="1"/>
    <col min="18" max="18" width="10.42578125" customWidth="1"/>
    <col min="19" max="19" width="12.7109375" customWidth="1"/>
    <col min="20" max="26" width="8.7109375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178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27</v>
      </c>
      <c r="B4" s="2" t="s">
        <v>29</v>
      </c>
      <c r="C4" s="500">
        <f>AVERAGEA(I7:I25)</f>
        <v>0.81825632930605297</v>
      </c>
      <c r="D4" s="501"/>
      <c r="E4" s="500">
        <f>AVERAGEA(J7:J25)</f>
        <v>13.473651960784313</v>
      </c>
      <c r="F4" s="501"/>
      <c r="G4" s="500">
        <f>AVERAGEA(K7:K25)</f>
        <v>0.90094711917916337</v>
      </c>
      <c r="H4" s="501"/>
      <c r="I4" s="3">
        <f>C4*K2</f>
        <v>145.64962661647743</v>
      </c>
      <c r="J4" s="3">
        <f>I4*E4</f>
        <v>1962.4323772486043</v>
      </c>
      <c r="K4" s="3">
        <f>K2*G4</f>
        <v>160.36858721389109</v>
      </c>
    </row>
    <row r="5" spans="1:19" ht="15" customHeight="1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2"/>
      <c r="B6" s="492"/>
      <c r="C6" s="492"/>
      <c r="D6" s="492"/>
      <c r="E6" s="492"/>
      <c r="F6" s="4" t="s">
        <v>20</v>
      </c>
      <c r="G6" s="5" t="s">
        <v>21</v>
      </c>
      <c r="H6" s="492"/>
      <c r="I6" s="492"/>
      <c r="J6" s="492"/>
      <c r="K6" s="492"/>
      <c r="N6" s="492"/>
      <c r="O6" s="492"/>
      <c r="P6" s="492"/>
      <c r="Q6" s="492"/>
      <c r="R6" s="492"/>
      <c r="S6" s="492"/>
    </row>
    <row r="7" spans="1:19" ht="15.75">
      <c r="A7" s="11">
        <v>46209</v>
      </c>
      <c r="B7" s="12">
        <v>1418</v>
      </c>
      <c r="C7" s="12" t="s">
        <v>62</v>
      </c>
      <c r="D7" s="12">
        <v>178</v>
      </c>
      <c r="E7" s="12">
        <v>3</v>
      </c>
      <c r="F7" s="12">
        <v>153</v>
      </c>
      <c r="G7" s="12">
        <v>2050</v>
      </c>
      <c r="H7" s="12">
        <v>171</v>
      </c>
      <c r="I7" s="6">
        <f t="shared" ref="I7:I8" si="0">F7/(D7+E7)</f>
        <v>0.84530386740331487</v>
      </c>
      <c r="J7" s="6">
        <f t="shared" ref="J7:J8" si="1">G7/F7</f>
        <v>13.398692810457517</v>
      </c>
      <c r="K7" s="6">
        <f t="shared" ref="K7:K8" si="2">H7/(D7+E7)</f>
        <v>0.94475138121546964</v>
      </c>
      <c r="N7" s="13" t="s">
        <v>49</v>
      </c>
      <c r="O7" s="14">
        <f>K2</f>
        <v>178</v>
      </c>
      <c r="P7" s="15">
        <f>I4</f>
        <v>145.64962661647743</v>
      </c>
      <c r="Q7" s="15">
        <f>J4</f>
        <v>1962.4323772486043</v>
      </c>
      <c r="R7" s="493">
        <f>Q7/P7</f>
        <v>13.473651960784313</v>
      </c>
      <c r="S7" s="493">
        <f>P7/O7</f>
        <v>0.81825632930605297</v>
      </c>
    </row>
    <row r="8" spans="1:19" ht="15.75">
      <c r="A8" s="11">
        <v>46216</v>
      </c>
      <c r="B8" s="12">
        <v>1418</v>
      </c>
      <c r="C8" s="12" t="s">
        <v>62</v>
      </c>
      <c r="D8" s="12">
        <v>179</v>
      </c>
      <c r="E8" s="12">
        <v>3</v>
      </c>
      <c r="F8" s="12">
        <v>144</v>
      </c>
      <c r="G8" s="12">
        <v>1951</v>
      </c>
      <c r="H8" s="12">
        <v>156</v>
      </c>
      <c r="I8" s="6">
        <f t="shared" si="0"/>
        <v>0.79120879120879117</v>
      </c>
      <c r="J8" s="6">
        <f t="shared" si="1"/>
        <v>13.548611111111111</v>
      </c>
      <c r="K8" s="6">
        <f t="shared" si="2"/>
        <v>0.8571428571428571</v>
      </c>
      <c r="N8" s="13" t="s">
        <v>50</v>
      </c>
      <c r="O8" s="14">
        <f>O7</f>
        <v>178</v>
      </c>
      <c r="P8" s="16">
        <f>O8*S7</f>
        <v>145.64962661647743</v>
      </c>
      <c r="Q8" s="16">
        <f>P8*R7</f>
        <v>1962.4323772486043</v>
      </c>
      <c r="R8" s="492"/>
      <c r="S8" s="492"/>
    </row>
    <row r="9" spans="1:19">
      <c r="A9" s="11"/>
      <c r="B9" s="12"/>
      <c r="C9" s="12"/>
      <c r="D9" s="12"/>
      <c r="E9" s="12"/>
      <c r="F9" s="12"/>
      <c r="G9" s="12"/>
      <c r="H9" s="12"/>
      <c r="I9" s="6"/>
      <c r="J9" s="6"/>
      <c r="K9" s="6"/>
      <c r="N9" s="494" t="s">
        <v>51</v>
      </c>
      <c r="O9" s="495"/>
      <c r="P9" s="495"/>
      <c r="Q9" s="495"/>
      <c r="R9" s="495"/>
      <c r="S9" s="496"/>
    </row>
    <row r="10" spans="1:19">
      <c r="A10" s="11"/>
      <c r="B10" s="12"/>
      <c r="C10" s="12"/>
      <c r="D10" s="12"/>
      <c r="E10" s="12"/>
      <c r="F10" s="12"/>
      <c r="G10" s="12"/>
      <c r="H10" s="12"/>
      <c r="I10" s="6"/>
      <c r="J10" s="6"/>
      <c r="K10" s="6"/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11"/>
      <c r="B11" s="12"/>
      <c r="C11" s="12"/>
      <c r="D11" s="12"/>
      <c r="E11" s="12"/>
      <c r="F11" s="12"/>
      <c r="G11" s="12"/>
      <c r="H11" s="12"/>
      <c r="I11" s="6"/>
      <c r="J11" s="6"/>
      <c r="K11" s="6"/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11"/>
      <c r="B12" s="12"/>
      <c r="C12" s="12"/>
      <c r="D12" s="12"/>
      <c r="E12" s="12"/>
      <c r="F12" s="12"/>
      <c r="G12" s="12"/>
      <c r="H12" s="12"/>
      <c r="I12" s="6"/>
      <c r="J12" s="6"/>
      <c r="K12" s="6"/>
      <c r="N12" s="17">
        <v>1</v>
      </c>
      <c r="O12" s="18">
        <v>0</v>
      </c>
      <c r="P12" s="19">
        <f>O12*R7</f>
        <v>0</v>
      </c>
      <c r="Q12" s="17">
        <v>3</v>
      </c>
      <c r="R12" s="18">
        <v>40</v>
      </c>
      <c r="S12" s="19">
        <f>R12*R7</f>
        <v>538.94607843137248</v>
      </c>
    </row>
    <row r="13" spans="1:19" ht="15.75">
      <c r="A13" s="11"/>
      <c r="B13" s="12"/>
      <c r="C13" s="12"/>
      <c r="D13" s="12"/>
      <c r="E13" s="12"/>
      <c r="F13" s="12"/>
      <c r="G13" s="12"/>
      <c r="H13" s="12"/>
      <c r="I13" s="6"/>
      <c r="J13" s="6"/>
      <c r="K13" s="6"/>
      <c r="N13" s="17">
        <v>2</v>
      </c>
      <c r="O13" s="18">
        <v>0</v>
      </c>
      <c r="P13" s="19">
        <f>O13*R7</f>
        <v>0</v>
      </c>
      <c r="Q13" s="17">
        <v>4</v>
      </c>
      <c r="R13" s="18">
        <v>130</v>
      </c>
      <c r="S13" s="19">
        <f>R7*R13</f>
        <v>1751.5747549019607</v>
      </c>
    </row>
    <row r="14" spans="1:19" ht="15.75">
      <c r="A14" s="8"/>
      <c r="B14" s="7"/>
      <c r="C14" s="7"/>
      <c r="D14" s="7"/>
      <c r="E14" s="7"/>
      <c r="F14" s="7"/>
      <c r="G14" s="7"/>
      <c r="H14" s="7"/>
      <c r="I14" s="6"/>
      <c r="J14" s="6"/>
      <c r="K14" s="6"/>
      <c r="N14" s="17">
        <v>3</v>
      </c>
      <c r="O14" s="18">
        <v>1</v>
      </c>
      <c r="P14" s="19">
        <f>R7*O14</f>
        <v>13.473651960784313</v>
      </c>
      <c r="Q14" s="17">
        <v>5</v>
      </c>
      <c r="R14" s="18">
        <v>0</v>
      </c>
      <c r="S14" s="19">
        <f>R14*R7</f>
        <v>0</v>
      </c>
    </row>
    <row r="15" spans="1:19" ht="15.75">
      <c r="A15" s="8"/>
      <c r="B15" s="7"/>
      <c r="C15" s="7"/>
      <c r="D15" s="7"/>
      <c r="E15" s="7"/>
      <c r="F15" s="7"/>
      <c r="G15" s="7"/>
      <c r="H15" s="7"/>
      <c r="I15" s="6"/>
      <c r="J15" s="6"/>
      <c r="K15" s="6"/>
      <c r="N15" s="17">
        <v>4</v>
      </c>
      <c r="O15" s="18">
        <v>0</v>
      </c>
      <c r="P15" s="19">
        <f>R7*O15</f>
        <v>0</v>
      </c>
      <c r="Q15" s="17">
        <v>1</v>
      </c>
      <c r="R15" s="18">
        <v>0</v>
      </c>
      <c r="S15" s="19">
        <f>R7*R15</f>
        <v>0</v>
      </c>
    </row>
    <row r="16" spans="1:19" ht="15.75">
      <c r="A16" s="8"/>
      <c r="B16" s="7"/>
      <c r="C16" s="7"/>
      <c r="D16" s="7"/>
      <c r="E16" s="7"/>
      <c r="F16" s="7"/>
      <c r="G16" s="7"/>
      <c r="H16" s="7"/>
      <c r="I16" s="6"/>
      <c r="J16" s="9"/>
      <c r="K16" s="9"/>
      <c r="N16" s="17">
        <v>5</v>
      </c>
      <c r="O16" s="18">
        <v>0</v>
      </c>
      <c r="P16" s="19">
        <f>R7*O16</f>
        <v>0</v>
      </c>
      <c r="Q16" s="17"/>
      <c r="R16" s="18">
        <v>0</v>
      </c>
      <c r="S16" s="19">
        <f>R7*R16</f>
        <v>0</v>
      </c>
    </row>
    <row r="17" spans="1:19" ht="15.75">
      <c r="A17" s="8"/>
      <c r="B17" s="7"/>
      <c r="C17" s="7"/>
      <c r="D17" s="7"/>
      <c r="E17" s="7"/>
      <c r="F17" s="7"/>
      <c r="G17" s="7"/>
      <c r="H17" s="7"/>
      <c r="I17" s="6"/>
      <c r="J17" s="9"/>
      <c r="K17" s="9"/>
      <c r="N17" s="17">
        <v>6</v>
      </c>
      <c r="O17" s="18">
        <v>0</v>
      </c>
      <c r="P17" s="19">
        <f>R7*O17</f>
        <v>0</v>
      </c>
      <c r="Q17" s="17"/>
      <c r="R17" s="18">
        <v>0</v>
      </c>
      <c r="S17" s="19">
        <f>R7*R17</f>
        <v>0</v>
      </c>
    </row>
    <row r="18" spans="1:19" ht="15.75">
      <c r="A18" s="8"/>
      <c r="B18" s="7"/>
      <c r="C18" s="7"/>
      <c r="D18" s="7"/>
      <c r="E18" s="7"/>
      <c r="F18" s="7"/>
      <c r="G18" s="7"/>
      <c r="H18" s="7"/>
      <c r="I18" s="6"/>
      <c r="J18" s="9"/>
      <c r="K18" s="9"/>
      <c r="N18" s="17">
        <v>7</v>
      </c>
      <c r="O18" s="18">
        <v>0</v>
      </c>
      <c r="P18" s="19">
        <f>R7*O18</f>
        <v>0</v>
      </c>
      <c r="Q18" s="17"/>
      <c r="R18" s="18">
        <v>0</v>
      </c>
      <c r="S18" s="19">
        <f>R7*R18</f>
        <v>0</v>
      </c>
    </row>
    <row r="19" spans="1:19" ht="15.75">
      <c r="A19" s="8"/>
      <c r="B19" s="7"/>
      <c r="C19" s="7"/>
      <c r="D19" s="7"/>
      <c r="E19" s="7"/>
      <c r="F19" s="7"/>
      <c r="G19" s="7"/>
      <c r="H19" s="7"/>
      <c r="I19" s="6"/>
      <c r="J19" s="9"/>
      <c r="K19" s="9"/>
      <c r="N19" s="17">
        <v>8</v>
      </c>
      <c r="O19" s="18">
        <v>30</v>
      </c>
      <c r="P19" s="19">
        <f>R7*O19</f>
        <v>404.20955882352939</v>
      </c>
      <c r="Q19" s="17"/>
      <c r="R19" s="18">
        <v>0</v>
      </c>
      <c r="S19" s="19">
        <f>R7*R19</f>
        <v>0</v>
      </c>
    </row>
    <row r="20" spans="1:19" ht="15.75">
      <c r="A20" s="8"/>
      <c r="B20" s="7"/>
      <c r="C20" s="7"/>
      <c r="D20" s="7"/>
      <c r="E20" s="7"/>
      <c r="F20" s="7"/>
      <c r="G20" s="7"/>
      <c r="H20" s="7"/>
      <c r="I20" s="6"/>
      <c r="J20" s="9"/>
      <c r="K20" s="9"/>
      <c r="N20" s="17">
        <v>9</v>
      </c>
      <c r="O20" s="18">
        <v>50</v>
      </c>
      <c r="P20" s="19">
        <f>R7*O20</f>
        <v>673.68259803921569</v>
      </c>
      <c r="Q20" s="17"/>
      <c r="R20" s="18">
        <v>0</v>
      </c>
      <c r="S20" s="19">
        <f>R7*R20</f>
        <v>0</v>
      </c>
    </row>
    <row r="21" spans="1:19" ht="15.75" customHeight="1">
      <c r="A21" s="8"/>
      <c r="B21" s="7"/>
      <c r="C21" s="7"/>
      <c r="D21" s="7"/>
      <c r="E21" s="7"/>
      <c r="F21" s="7"/>
      <c r="G21" s="7"/>
      <c r="H21" s="7"/>
      <c r="I21" s="9"/>
      <c r="J21" s="9"/>
      <c r="K21" s="9"/>
      <c r="N21" s="20" t="s">
        <v>53</v>
      </c>
      <c r="O21" s="18">
        <v>50</v>
      </c>
      <c r="P21" s="19">
        <f>R7*O21</f>
        <v>673.68259803921569</v>
      </c>
      <c r="Q21" s="17"/>
      <c r="R21" s="18"/>
      <c r="S21" s="19">
        <f>R7*R21</f>
        <v>0</v>
      </c>
    </row>
    <row r="22" spans="1:19" ht="15.75" customHeight="1">
      <c r="A22" s="8"/>
      <c r="B22" s="7"/>
      <c r="C22" s="7"/>
      <c r="D22" s="7"/>
      <c r="E22" s="7"/>
      <c r="F22" s="7"/>
      <c r="G22" s="7"/>
      <c r="H22" s="7"/>
      <c r="I22" s="9"/>
      <c r="J22" s="9"/>
      <c r="K22" s="9"/>
      <c r="N22" s="13" t="s">
        <v>59</v>
      </c>
      <c r="O22" s="21">
        <f>P8-O12-O13-O14-O15-O16-O17-O18-O19-O20-O21</f>
        <v>14.649626616477434</v>
      </c>
      <c r="P22" s="21">
        <f>Q8-P12-P13-P14-P15-P16-P17-P18-P19-P20-P21</f>
        <v>197.38397038585936</v>
      </c>
      <c r="Q22" s="13" t="s">
        <v>59</v>
      </c>
      <c r="R22" s="21">
        <f>P8-R12-R13-R14-R15-R16-R17-R18-R19-R20-R21</f>
        <v>-24.350373383522566</v>
      </c>
      <c r="S22" s="21">
        <f>Q8-S12-S13-S14-S15-S16-S17-S18-S19-S20-S21</f>
        <v>-328.08845608472893</v>
      </c>
    </row>
    <row r="23" spans="1:19" ht="15.75" customHeight="1">
      <c r="A23" s="8"/>
      <c r="B23" s="7"/>
      <c r="C23" s="7"/>
      <c r="D23" s="7"/>
      <c r="E23" s="7"/>
      <c r="F23" s="7"/>
      <c r="G23" s="7"/>
      <c r="H23" s="7"/>
      <c r="I23" s="9"/>
      <c r="J23" s="9"/>
      <c r="K23" s="9"/>
      <c r="N23" s="13" t="s">
        <v>60</v>
      </c>
      <c r="O23" s="16">
        <f>O12+O13+O14+O15+O16+O17+O18+O19+O20+O21</f>
        <v>131</v>
      </c>
      <c r="P23" s="16">
        <f>P12+P13+P14+P15+P16+P17+P18+P19+P20+P21</f>
        <v>1765.048406862745</v>
      </c>
      <c r="Q23" s="13" t="s">
        <v>60</v>
      </c>
      <c r="R23" s="16">
        <f>R12+R13+R14+R15+R16+R17+R18+R19+R20+R21</f>
        <v>170</v>
      </c>
      <c r="S23" s="16">
        <f>S12+S13+S14+S15+S16+S17+S18+S19+S20+S21</f>
        <v>2290.520833333333</v>
      </c>
    </row>
    <row r="24" spans="1:19" ht="15.75" customHeight="1">
      <c r="A24" s="8"/>
      <c r="B24" s="7"/>
      <c r="C24" s="7"/>
      <c r="D24" s="7"/>
      <c r="E24" s="7"/>
      <c r="F24" s="7"/>
      <c r="G24" s="7"/>
      <c r="H24" s="7"/>
      <c r="I24" s="9"/>
      <c r="J24" s="9"/>
      <c r="K24" s="9"/>
    </row>
    <row r="25" spans="1:19" ht="15.75" customHeight="1">
      <c r="A25" s="8"/>
      <c r="B25" s="7"/>
      <c r="C25" s="7"/>
      <c r="D25" s="7"/>
      <c r="E25" s="7"/>
      <c r="F25" s="7"/>
      <c r="G25" s="7"/>
      <c r="H25" s="7"/>
      <c r="I25" s="9"/>
      <c r="J25" s="9"/>
      <c r="K25" s="9"/>
    </row>
    <row r="26" spans="1:19" ht="15.75" customHeight="1">
      <c r="A26" s="8"/>
      <c r="B26" s="7"/>
      <c r="C26" s="7"/>
      <c r="D26" s="7"/>
      <c r="E26" s="7"/>
      <c r="F26" s="7"/>
      <c r="G26" s="7"/>
      <c r="H26" s="7"/>
      <c r="I26" s="9"/>
      <c r="J26" s="9"/>
      <c r="K26" s="9"/>
    </row>
    <row r="27" spans="1:19" ht="15.75" customHeight="1">
      <c r="A27" s="8"/>
      <c r="B27" s="7"/>
      <c r="C27" s="7"/>
      <c r="D27" s="7"/>
      <c r="E27" s="7"/>
      <c r="F27" s="7"/>
      <c r="G27" s="7"/>
      <c r="H27" s="7"/>
      <c r="I27" s="9"/>
      <c r="J27" s="9"/>
      <c r="K27" s="9"/>
    </row>
    <row r="28" spans="1:19" ht="15.75" customHeight="1">
      <c r="A28" s="8"/>
      <c r="B28" s="7"/>
      <c r="C28" s="7"/>
      <c r="D28" s="7"/>
      <c r="E28" s="7"/>
      <c r="F28" s="7"/>
      <c r="G28" s="7"/>
      <c r="H28" s="7"/>
      <c r="I28" s="9"/>
      <c r="J28" s="9"/>
      <c r="K28" s="9"/>
    </row>
    <row r="29" spans="1:19" ht="15.75" customHeight="1">
      <c r="A29" s="8"/>
      <c r="B29" s="7"/>
      <c r="C29" s="7"/>
      <c r="D29" s="7"/>
      <c r="E29" s="7"/>
      <c r="F29" s="7"/>
      <c r="G29" s="7"/>
      <c r="H29" s="7"/>
      <c r="I29" s="9"/>
      <c r="J29" s="9"/>
      <c r="K29" s="9"/>
    </row>
    <row r="30" spans="1:19" ht="15.75" customHeight="1">
      <c r="A30" s="8"/>
      <c r="B30" s="7"/>
      <c r="C30" s="7"/>
      <c r="D30" s="7"/>
      <c r="E30" s="7"/>
      <c r="F30" s="7"/>
      <c r="G30" s="7"/>
      <c r="H30" s="7"/>
      <c r="I30" s="9"/>
      <c r="J30" s="9"/>
      <c r="K30" s="9"/>
    </row>
    <row r="31" spans="1:19" ht="15.75" customHeight="1">
      <c r="A31" s="7"/>
      <c r="B31" s="7"/>
      <c r="C31" s="7"/>
      <c r="D31" s="7"/>
      <c r="E31" s="7"/>
      <c r="F31" s="7"/>
      <c r="G31" s="7"/>
      <c r="H31" s="7"/>
      <c r="I31" s="9"/>
      <c r="J31" s="9"/>
      <c r="K31" s="9"/>
    </row>
    <row r="32" spans="1:19" ht="15.75" customHeight="1">
      <c r="A32" s="7"/>
      <c r="B32" s="7"/>
      <c r="C32" s="7"/>
      <c r="D32" s="7"/>
      <c r="E32" s="7"/>
      <c r="F32" s="7"/>
      <c r="G32" s="7"/>
      <c r="H32" s="7"/>
      <c r="I32" s="6"/>
      <c r="J32" s="9"/>
      <c r="K32" s="9"/>
    </row>
    <row r="33" spans="9:9" ht="15.75" customHeight="1">
      <c r="I33" s="10"/>
    </row>
    <row r="34" spans="9:9" ht="15.75" customHeight="1"/>
    <row r="35" spans="9:9" ht="15.75" customHeight="1"/>
    <row r="36" spans="9:9" ht="15.75" customHeight="1"/>
    <row r="37" spans="9:9" ht="15.75" customHeight="1"/>
    <row r="38" spans="9:9" ht="15.75" customHeight="1"/>
    <row r="39" spans="9:9" ht="15.75" customHeight="1"/>
    <row r="40" spans="9:9" ht="15.75" customHeight="1"/>
    <row r="41" spans="9:9" ht="15.75" customHeight="1"/>
    <row r="42" spans="9:9" ht="15.75" customHeight="1"/>
    <row r="43" spans="9:9" ht="15.75" customHeight="1"/>
    <row r="44" spans="9:9" ht="15.75" customHeight="1"/>
    <row r="45" spans="9:9" ht="15.75" customHeight="1"/>
    <row r="46" spans="9:9" ht="15.75" customHeight="1"/>
    <row r="47" spans="9:9" ht="15.75" customHeight="1"/>
    <row r="48" spans="9:9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7"/>
      <c r="O55" s="7"/>
      <c r="P55" s="7"/>
      <c r="Q55" s="7"/>
      <c r="R55" s="7"/>
      <c r="S55" s="7"/>
    </row>
    <row r="56" spans="14:19" ht="15.75" customHeight="1">
      <c r="N56" s="22"/>
      <c r="O56" s="22"/>
      <c r="P56" s="22"/>
      <c r="Q56" s="22"/>
      <c r="R56" s="22"/>
      <c r="S56" s="2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O5:O6"/>
    <mergeCell ref="N10:P10"/>
    <mergeCell ref="Q10:S10"/>
    <mergeCell ref="Q5:Q6"/>
    <mergeCell ref="R5:R6"/>
    <mergeCell ref="S5:S6"/>
    <mergeCell ref="R7:R8"/>
    <mergeCell ref="S7:S8"/>
    <mergeCell ref="N9:S9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>
  <sheetPr codeName="Лист17"/>
  <dimension ref="A1:S1000"/>
  <sheetViews>
    <sheetView workbookViewId="0">
      <selection activeCell="I11" sqref="I11"/>
    </sheetView>
  </sheetViews>
  <sheetFormatPr defaultColWidth="14.42578125" defaultRowHeight="15" customHeight="1"/>
  <cols>
    <col min="1" max="1" width="11.140625" customWidth="1"/>
    <col min="2" max="8" width="8.7109375" customWidth="1"/>
    <col min="9" max="9" width="14" customWidth="1"/>
    <col min="10" max="10" width="15.5703125" customWidth="1"/>
    <col min="11" max="11" width="12.85546875" customWidth="1"/>
    <col min="12" max="13" width="8.7109375" customWidth="1"/>
    <col min="14" max="14" width="12" customWidth="1"/>
    <col min="15" max="15" width="11.5703125" customWidth="1"/>
    <col min="16" max="16" width="13.5703125" customWidth="1"/>
    <col min="17" max="17" width="12" customWidth="1"/>
    <col min="18" max="18" width="10.42578125" customWidth="1"/>
    <col min="19" max="19" width="12.7109375" customWidth="1"/>
    <col min="20" max="26" width="8.7109375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206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/>
    </row>
    <row r="4" spans="1:19">
      <c r="A4" s="2" t="s">
        <v>27</v>
      </c>
      <c r="B4" s="2" t="s">
        <v>38</v>
      </c>
      <c r="C4" s="500">
        <f>AVERAGEA(I7:I40)</f>
        <v>0.8884295632192718</v>
      </c>
      <c r="D4" s="501"/>
      <c r="E4" s="500">
        <f>AVERAGEA(J7:J40)</f>
        <v>14.287763899384951</v>
      </c>
      <c r="F4" s="501"/>
      <c r="G4" s="500">
        <f>AVERAGEA(K7:K40)</f>
        <v>1.6671285858887299</v>
      </c>
      <c r="H4" s="501"/>
      <c r="I4" s="3">
        <f>C4*K2</f>
        <v>183.01649002316998</v>
      </c>
      <c r="J4" s="3">
        <f>I4*E4</f>
        <v>2614.8963991451942</v>
      </c>
      <c r="K4" s="3">
        <f>K2*G4</f>
        <v>343.42848869307835</v>
      </c>
    </row>
    <row r="5" spans="1:19" ht="15" customHeight="1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  <c r="N6" s="492"/>
      <c r="O6" s="492"/>
      <c r="P6" s="492"/>
      <c r="Q6" s="492"/>
      <c r="R6" s="492"/>
      <c r="S6" s="492"/>
    </row>
    <row r="7" spans="1:19" ht="15.75">
      <c r="A7" s="28">
        <v>46206</v>
      </c>
      <c r="B7" s="29">
        <v>1406</v>
      </c>
      <c r="C7" s="29" t="s">
        <v>61</v>
      </c>
      <c r="D7" s="29">
        <v>207</v>
      </c>
      <c r="E7" s="29">
        <v>4</v>
      </c>
      <c r="F7" s="29">
        <v>195</v>
      </c>
      <c r="G7" s="29">
        <v>2723</v>
      </c>
      <c r="H7" s="29">
        <v>586</v>
      </c>
      <c r="I7" s="25">
        <f t="shared" ref="I7:I11" si="0">F7/(D7+E7)</f>
        <v>0.92417061611374407</v>
      </c>
      <c r="J7" s="25">
        <f t="shared" ref="J7:J11" si="1">G7/F7</f>
        <v>13.964102564102564</v>
      </c>
      <c r="K7" s="25">
        <f t="shared" ref="K7:K11" si="2">H7/(D7+E7)</f>
        <v>2.7772511848341233</v>
      </c>
      <c r="N7" s="13" t="s">
        <v>49</v>
      </c>
      <c r="O7" s="14">
        <f>K2</f>
        <v>206</v>
      </c>
      <c r="P7" s="15">
        <f>I4</f>
        <v>183.01649002316998</v>
      </c>
      <c r="Q7" s="15">
        <f>J4</f>
        <v>2614.8963991451942</v>
      </c>
      <c r="R7" s="493">
        <f>Q7/P7</f>
        <v>14.287763899384952</v>
      </c>
      <c r="S7" s="493">
        <f>P7/O7</f>
        <v>0.88842956321927169</v>
      </c>
    </row>
    <row r="8" spans="1:19" ht="15.75">
      <c r="A8" s="24">
        <v>46210</v>
      </c>
      <c r="B8" s="23">
        <v>1406</v>
      </c>
      <c r="C8" s="23" t="s">
        <v>61</v>
      </c>
      <c r="D8" s="23">
        <v>187</v>
      </c>
      <c r="E8" s="23">
        <v>4</v>
      </c>
      <c r="F8" s="23">
        <v>169</v>
      </c>
      <c r="G8" s="23">
        <v>2429</v>
      </c>
      <c r="H8" s="23">
        <v>695</v>
      </c>
      <c r="I8" s="25">
        <f t="shared" si="0"/>
        <v>0.88481675392670156</v>
      </c>
      <c r="J8" s="25">
        <f t="shared" si="1"/>
        <v>14.372781065088757</v>
      </c>
      <c r="K8" s="25">
        <f t="shared" si="2"/>
        <v>3.6387434554973823</v>
      </c>
      <c r="N8" s="13" t="s">
        <v>50</v>
      </c>
      <c r="O8" s="14">
        <f>O7</f>
        <v>206</v>
      </c>
      <c r="P8" s="16">
        <f>O8*S7</f>
        <v>183.01649002316998</v>
      </c>
      <c r="Q8" s="16">
        <f>P8*R7</f>
        <v>2614.8963991451942</v>
      </c>
      <c r="R8" s="492"/>
      <c r="S8" s="492"/>
    </row>
    <row r="9" spans="1:19">
      <c r="A9" s="24">
        <v>46213</v>
      </c>
      <c r="B9" s="23">
        <v>1406</v>
      </c>
      <c r="C9" s="23" t="s">
        <v>61</v>
      </c>
      <c r="D9" s="23">
        <v>206</v>
      </c>
      <c r="E9" s="23">
        <v>8</v>
      </c>
      <c r="F9" s="23">
        <v>188</v>
      </c>
      <c r="G9" s="23">
        <v>2730</v>
      </c>
      <c r="H9" s="23">
        <v>9</v>
      </c>
      <c r="I9" s="25">
        <f t="shared" si="0"/>
        <v>0.87850467289719625</v>
      </c>
      <c r="J9" s="25">
        <f t="shared" si="1"/>
        <v>14.521276595744681</v>
      </c>
      <c r="K9" s="25">
        <f t="shared" si="2"/>
        <v>4.2056074766355138E-2</v>
      </c>
      <c r="N9" s="494" t="s">
        <v>51</v>
      </c>
      <c r="O9" s="495"/>
      <c r="P9" s="495"/>
      <c r="Q9" s="495"/>
      <c r="R9" s="495"/>
      <c r="S9" s="496"/>
    </row>
    <row r="10" spans="1:19">
      <c r="A10" s="24">
        <v>46217</v>
      </c>
      <c r="B10" s="23">
        <v>1406</v>
      </c>
      <c r="C10" s="23" t="s">
        <v>61</v>
      </c>
      <c r="D10" s="23">
        <v>198</v>
      </c>
      <c r="E10" s="23">
        <v>5</v>
      </c>
      <c r="F10" s="23">
        <v>173</v>
      </c>
      <c r="G10" s="23">
        <v>2356</v>
      </c>
      <c r="H10" s="23">
        <v>92</v>
      </c>
      <c r="I10" s="25">
        <f t="shared" si="0"/>
        <v>0.85221674876847286</v>
      </c>
      <c r="J10" s="25">
        <f t="shared" si="1"/>
        <v>13.61849710982659</v>
      </c>
      <c r="K10" s="25">
        <f t="shared" si="2"/>
        <v>0.45320197044334976</v>
      </c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24">
        <v>46220</v>
      </c>
      <c r="B11" s="23">
        <v>1406</v>
      </c>
      <c r="C11" s="449" t="s">
        <v>61</v>
      </c>
      <c r="D11" s="23">
        <v>198</v>
      </c>
      <c r="E11" s="23">
        <v>7</v>
      </c>
      <c r="F11" s="23">
        <v>185</v>
      </c>
      <c r="G11" s="23">
        <v>2768</v>
      </c>
      <c r="H11" s="23">
        <v>292</v>
      </c>
      <c r="I11" s="25">
        <f t="shared" si="0"/>
        <v>0.90243902439024393</v>
      </c>
      <c r="J11" s="25">
        <f t="shared" si="1"/>
        <v>14.962162162162162</v>
      </c>
      <c r="K11" s="25">
        <f t="shared" si="2"/>
        <v>1.424390243902439</v>
      </c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24"/>
      <c r="B12" s="23"/>
      <c r="C12" s="23"/>
      <c r="D12" s="23"/>
      <c r="E12" s="23"/>
      <c r="F12" s="23"/>
      <c r="G12" s="23"/>
      <c r="H12" s="23"/>
      <c r="I12" s="25"/>
      <c r="J12" s="25"/>
      <c r="K12" s="25"/>
      <c r="N12" s="17">
        <v>1</v>
      </c>
      <c r="O12" s="18">
        <v>0</v>
      </c>
      <c r="P12" s="19">
        <f>O12*R7</f>
        <v>0</v>
      </c>
      <c r="Q12" s="17">
        <v>3</v>
      </c>
      <c r="R12" s="18">
        <v>40</v>
      </c>
      <c r="S12" s="19">
        <f>R12*R7</f>
        <v>571.51055597539812</v>
      </c>
    </row>
    <row r="13" spans="1:19" ht="15.75">
      <c r="A13" s="24"/>
      <c r="B13" s="23"/>
      <c r="C13" s="23"/>
      <c r="D13" s="23"/>
      <c r="E13" s="23"/>
      <c r="F13" s="23"/>
      <c r="G13" s="23"/>
      <c r="H13" s="23"/>
      <c r="I13" s="25"/>
      <c r="J13" s="25"/>
      <c r="K13" s="25"/>
      <c r="N13" s="17">
        <v>2</v>
      </c>
      <c r="O13" s="18">
        <v>0</v>
      </c>
      <c r="P13" s="19">
        <f>O13*R7</f>
        <v>0</v>
      </c>
      <c r="Q13" s="17">
        <v>4</v>
      </c>
      <c r="R13" s="18">
        <v>40</v>
      </c>
      <c r="S13" s="19">
        <f>R7*R13</f>
        <v>571.51055597539812</v>
      </c>
    </row>
    <row r="14" spans="1:19" ht="15.75">
      <c r="A14" s="24"/>
      <c r="B14" s="23"/>
      <c r="C14" s="23"/>
      <c r="D14" s="23"/>
      <c r="E14" s="23"/>
      <c r="F14" s="23"/>
      <c r="G14" s="23"/>
      <c r="H14" s="23"/>
      <c r="I14" s="25"/>
      <c r="J14" s="25"/>
      <c r="K14" s="25"/>
      <c r="N14" s="17">
        <v>3</v>
      </c>
      <c r="O14" s="18">
        <v>1</v>
      </c>
      <c r="P14" s="19">
        <f>R7*O14</f>
        <v>14.287763899384952</v>
      </c>
      <c r="Q14" s="17">
        <v>5</v>
      </c>
      <c r="R14" s="18">
        <v>40</v>
      </c>
      <c r="S14" s="19">
        <f>R14*R7</f>
        <v>571.51055597539812</v>
      </c>
    </row>
    <row r="15" spans="1:19" ht="15.75">
      <c r="A15" s="24"/>
      <c r="B15" s="23"/>
      <c r="C15" s="23"/>
      <c r="D15" s="23"/>
      <c r="E15" s="23"/>
      <c r="F15" s="23"/>
      <c r="G15" s="23"/>
      <c r="H15" s="23"/>
      <c r="I15" s="25"/>
      <c r="J15" s="25"/>
      <c r="K15" s="25"/>
      <c r="N15" s="17">
        <v>4</v>
      </c>
      <c r="O15" s="18">
        <v>0</v>
      </c>
      <c r="P15" s="19">
        <f>R7*O15</f>
        <v>0</v>
      </c>
      <c r="Q15" s="17">
        <v>1</v>
      </c>
      <c r="R15" s="18">
        <v>40</v>
      </c>
      <c r="S15" s="19">
        <f>R7*R15</f>
        <v>571.51055597539812</v>
      </c>
    </row>
    <row r="16" spans="1:19" ht="15.75">
      <c r="A16" s="24"/>
      <c r="B16" s="23"/>
      <c r="C16" s="23"/>
      <c r="D16" s="23"/>
      <c r="E16" s="23"/>
      <c r="F16" s="23"/>
      <c r="G16" s="23"/>
      <c r="H16" s="23"/>
      <c r="I16" s="25"/>
      <c r="J16" s="25"/>
      <c r="K16" s="25"/>
      <c r="N16" s="17">
        <v>5</v>
      </c>
      <c r="O16" s="18">
        <v>0</v>
      </c>
      <c r="P16" s="19">
        <f>R7*O16</f>
        <v>0</v>
      </c>
      <c r="Q16" s="17"/>
      <c r="R16" s="18">
        <v>38</v>
      </c>
      <c r="S16" s="19">
        <f>R7*R16</f>
        <v>542.93502817662818</v>
      </c>
    </row>
    <row r="17" spans="1:19" ht="15.75">
      <c r="A17" s="24"/>
      <c r="B17" s="23"/>
      <c r="C17" s="23"/>
      <c r="D17" s="23"/>
      <c r="E17" s="23"/>
      <c r="F17" s="23"/>
      <c r="G17" s="23"/>
      <c r="H17" s="23"/>
      <c r="I17" s="25"/>
      <c r="J17" s="25"/>
      <c r="K17" s="25"/>
      <c r="N17" s="17">
        <v>6</v>
      </c>
      <c r="O17" s="18">
        <v>0</v>
      </c>
      <c r="P17" s="19">
        <f>R7*O17</f>
        <v>0</v>
      </c>
      <c r="Q17" s="17"/>
      <c r="R17" s="18">
        <v>0</v>
      </c>
      <c r="S17" s="19">
        <f>R7*R17</f>
        <v>0</v>
      </c>
    </row>
    <row r="18" spans="1:19" ht="15.75">
      <c r="A18" s="24"/>
      <c r="B18" s="23"/>
      <c r="C18" s="23"/>
      <c r="D18" s="23"/>
      <c r="E18" s="23"/>
      <c r="F18" s="23"/>
      <c r="G18" s="23"/>
      <c r="H18" s="23"/>
      <c r="I18" s="25"/>
      <c r="J18" s="25"/>
      <c r="K18" s="25"/>
      <c r="N18" s="17">
        <v>7</v>
      </c>
      <c r="O18" s="18">
        <v>0</v>
      </c>
      <c r="P18" s="19">
        <f>R7*O18</f>
        <v>0</v>
      </c>
      <c r="Q18" s="17"/>
      <c r="R18" s="18">
        <v>0</v>
      </c>
      <c r="S18" s="19">
        <f>R7*R18</f>
        <v>0</v>
      </c>
    </row>
    <row r="19" spans="1:19" ht="15.75">
      <c r="A19" s="24"/>
      <c r="B19" s="23"/>
      <c r="C19" s="23"/>
      <c r="D19" s="23"/>
      <c r="E19" s="23"/>
      <c r="F19" s="23"/>
      <c r="G19" s="23"/>
      <c r="H19" s="23"/>
      <c r="I19" s="25"/>
      <c r="J19" s="25"/>
      <c r="K19" s="25"/>
      <c r="N19" s="17">
        <v>8</v>
      </c>
      <c r="O19" s="18">
        <v>30</v>
      </c>
      <c r="P19" s="19">
        <f>R7*O19</f>
        <v>428.63291698154859</v>
      </c>
      <c r="Q19" s="17"/>
      <c r="R19" s="18">
        <v>0</v>
      </c>
      <c r="S19" s="19">
        <f>R7*R19</f>
        <v>0</v>
      </c>
    </row>
    <row r="20" spans="1:19" ht="15.7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N20" s="17">
        <v>9</v>
      </c>
      <c r="O20" s="18">
        <v>50</v>
      </c>
      <c r="P20" s="19">
        <f>R7*O20</f>
        <v>714.38819496924759</v>
      </c>
      <c r="Q20" s="17"/>
      <c r="R20" s="18">
        <v>0</v>
      </c>
      <c r="S20" s="19">
        <f>R7*R20</f>
        <v>0</v>
      </c>
    </row>
    <row r="21" spans="1:19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N21" s="20" t="s">
        <v>53</v>
      </c>
      <c r="O21" s="18">
        <v>50</v>
      </c>
      <c r="P21" s="19">
        <f>R7*O21</f>
        <v>714.38819496924759</v>
      </c>
      <c r="Q21" s="17"/>
      <c r="R21" s="18"/>
      <c r="S21" s="19">
        <f>R7*R21</f>
        <v>0</v>
      </c>
    </row>
    <row r="22" spans="1:19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N22" s="13" t="s">
        <v>59</v>
      </c>
      <c r="O22" s="21">
        <f>P8-O12-O13-O14-O15-O16-O17-O18-O19-O20-O21</f>
        <v>52.016490023169979</v>
      </c>
      <c r="P22" s="21">
        <f>Q8-P12-P13-P14-P15-P16-P17-P18-P19-P20-P21</f>
        <v>743.19932832576535</v>
      </c>
      <c r="Q22" s="13" t="s">
        <v>59</v>
      </c>
      <c r="R22" s="21">
        <f>P8-R12-R13-R14-R15-R16-R17-R18-R19-R20-R21</f>
        <v>-14.983509976830021</v>
      </c>
      <c r="S22" s="21">
        <f>Q8-S12-S13-S14-S15-S16-S17-S18-S19-S20-S21</f>
        <v>-214.08085293302645</v>
      </c>
    </row>
    <row r="23" spans="1:19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N23" s="13" t="s">
        <v>60</v>
      </c>
      <c r="O23" s="16">
        <f>O12+O13+O14+O15+O16+O17+O18+O19+O20+O21</f>
        <v>131</v>
      </c>
      <c r="P23" s="16">
        <f>P12+P13+P14+P15+P16+P17+P18+P19+P20+P21</f>
        <v>1871.697070819429</v>
      </c>
      <c r="Q23" s="13" t="s">
        <v>60</v>
      </c>
      <c r="R23" s="16">
        <f>R12+R13+R14+R15+R16+R17+R18+R19+R20+R21</f>
        <v>198</v>
      </c>
      <c r="S23" s="16">
        <f>S12+S13+S14+S15+S16+S17+S18+S19+S20+S21</f>
        <v>2828.9772520782208</v>
      </c>
    </row>
    <row r="24" spans="1:19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9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</row>
    <row r="26" spans="1:19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spans="1:19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spans="1:19" ht="15.75" customHeight="1"/>
    <row r="29" spans="1:19" ht="15.75" customHeight="1"/>
    <row r="30" spans="1:19" ht="15.75" customHeight="1"/>
    <row r="31" spans="1:19" ht="15.75" customHeight="1"/>
    <row r="32" spans="1:1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7"/>
      <c r="O55" s="7"/>
      <c r="P55" s="7"/>
      <c r="Q55" s="7"/>
      <c r="R55" s="7"/>
      <c r="S55" s="7"/>
    </row>
    <row r="56" spans="14:19" ht="15.75" customHeight="1">
      <c r="N56" s="22"/>
      <c r="O56" s="22"/>
      <c r="P56" s="22"/>
      <c r="Q56" s="22"/>
      <c r="R56" s="22"/>
      <c r="S56" s="2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O5:O6"/>
    <mergeCell ref="N10:P10"/>
    <mergeCell ref="Q10:S10"/>
    <mergeCell ref="Q5:Q6"/>
    <mergeCell ref="R5:R6"/>
    <mergeCell ref="S5:S6"/>
    <mergeCell ref="R7:R8"/>
    <mergeCell ref="S7:S8"/>
    <mergeCell ref="N9:S9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>
  <sheetPr codeName="Лист18"/>
  <dimension ref="A1:S1000"/>
  <sheetViews>
    <sheetView workbookViewId="0">
      <selection activeCell="K4" sqref="K4"/>
    </sheetView>
  </sheetViews>
  <sheetFormatPr defaultColWidth="14.42578125" defaultRowHeight="15" customHeight="1"/>
  <cols>
    <col min="1" max="1" width="10.140625" customWidth="1"/>
    <col min="2" max="8" width="8.7109375" customWidth="1"/>
    <col min="9" max="9" width="14" customWidth="1"/>
    <col min="10" max="10" width="15.5703125" customWidth="1"/>
    <col min="11" max="11" width="12.85546875" customWidth="1"/>
    <col min="12" max="13" width="8.7109375" customWidth="1"/>
    <col min="14" max="14" width="12" customWidth="1"/>
    <col min="15" max="15" width="11.5703125" customWidth="1"/>
    <col min="16" max="16" width="13.5703125" customWidth="1"/>
    <col min="17" max="17" width="12" customWidth="1"/>
    <col min="18" max="18" width="10.42578125" customWidth="1"/>
    <col min="19" max="19" width="12.7109375" customWidth="1"/>
    <col min="20" max="26" width="8.7109375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213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27</v>
      </c>
      <c r="B4" s="2" t="s">
        <v>32</v>
      </c>
      <c r="C4" s="500">
        <f>AVERAGEA(I7:I20)</f>
        <v>0.95199338893144603</v>
      </c>
      <c r="D4" s="501"/>
      <c r="E4" s="500">
        <f>AVERAGEA(J7:J20)</f>
        <v>14.333670083815022</v>
      </c>
      <c r="F4" s="501"/>
      <c r="G4" s="500">
        <f>AVERAGEA(K7:K20)</f>
        <v>2.8004557447317189</v>
      </c>
      <c r="H4" s="501"/>
      <c r="I4" s="3">
        <f>C4*K2</f>
        <v>202.774591842398</v>
      </c>
      <c r="J4" s="3">
        <f>I4*E4</f>
        <v>2906.5041008491817</v>
      </c>
      <c r="K4" s="3">
        <f>K2*G4</f>
        <v>596.49707362785614</v>
      </c>
    </row>
    <row r="5" spans="1:19" ht="15" customHeight="1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2"/>
      <c r="B6" s="492"/>
      <c r="C6" s="492"/>
      <c r="D6" s="492"/>
      <c r="E6" s="492"/>
      <c r="F6" s="4" t="s">
        <v>20</v>
      </c>
      <c r="G6" s="5" t="s">
        <v>21</v>
      </c>
      <c r="H6" s="492"/>
      <c r="I6" s="492"/>
      <c r="J6" s="492"/>
      <c r="K6" s="492"/>
      <c r="N6" s="492"/>
      <c r="O6" s="492"/>
      <c r="P6" s="492"/>
      <c r="Q6" s="492"/>
      <c r="R6" s="492"/>
      <c r="S6" s="492"/>
    </row>
    <row r="7" spans="1:19" ht="15.75">
      <c r="A7" s="11">
        <v>45358</v>
      </c>
      <c r="B7" s="12">
        <v>1422</v>
      </c>
      <c r="C7" s="12" t="s">
        <v>62</v>
      </c>
      <c r="D7" s="12">
        <v>182</v>
      </c>
      <c r="E7" s="12">
        <v>2</v>
      </c>
      <c r="F7" s="12">
        <v>174</v>
      </c>
      <c r="G7" s="12">
        <v>2365</v>
      </c>
      <c r="H7" s="12">
        <v>338</v>
      </c>
      <c r="I7" s="6">
        <f>F7/(D7+E7)</f>
        <v>0.94565217391304346</v>
      </c>
      <c r="J7" s="6">
        <f>G7/F7</f>
        <v>13.591954022988507</v>
      </c>
      <c r="K7" s="6">
        <f>H7/(D7+E7)</f>
        <v>1.8369565217391304</v>
      </c>
      <c r="N7" s="13" t="s">
        <v>49</v>
      </c>
      <c r="O7" s="14">
        <f>K2</f>
        <v>213</v>
      </c>
      <c r="P7" s="15">
        <f>I4</f>
        <v>202.774591842398</v>
      </c>
      <c r="Q7" s="15">
        <f>J4</f>
        <v>2906.5041008491817</v>
      </c>
      <c r="R7" s="493">
        <f>Q7/P7</f>
        <v>14.333670083815022</v>
      </c>
      <c r="S7" s="493">
        <f>P7/O7</f>
        <v>0.95199338893144603</v>
      </c>
    </row>
    <row r="8" spans="1:19" ht="15.75">
      <c r="A8" s="24">
        <v>45365</v>
      </c>
      <c r="B8" s="23">
        <v>1422</v>
      </c>
      <c r="C8" s="23" t="s">
        <v>74</v>
      </c>
      <c r="D8" s="23">
        <v>201</v>
      </c>
      <c r="E8" s="23">
        <v>0</v>
      </c>
      <c r="F8" s="23">
        <v>184</v>
      </c>
      <c r="G8" s="23">
        <v>2750</v>
      </c>
      <c r="H8" s="23">
        <v>291</v>
      </c>
      <c r="I8" s="6">
        <f>F8/(D8+E8)</f>
        <v>0.91542288557213936</v>
      </c>
      <c r="J8" s="6">
        <f>G8/F8</f>
        <v>14.945652173913043</v>
      </c>
      <c r="K8" s="6">
        <f>H8/(D8+E8)</f>
        <v>1.4477611940298507</v>
      </c>
      <c r="N8" s="13" t="s">
        <v>50</v>
      </c>
      <c r="O8" s="14">
        <f>O7</f>
        <v>213</v>
      </c>
      <c r="P8" s="16">
        <f>O8*S7</f>
        <v>202.774591842398</v>
      </c>
      <c r="Q8" s="16">
        <f>P8*R7</f>
        <v>2906.5041008491817</v>
      </c>
      <c r="R8" s="492"/>
      <c r="S8" s="492"/>
    </row>
    <row r="9" spans="1:19">
      <c r="A9" s="24">
        <v>45372</v>
      </c>
      <c r="B9" s="23">
        <v>1422</v>
      </c>
      <c r="C9" s="23" t="s">
        <v>74</v>
      </c>
      <c r="D9" s="23">
        <v>187</v>
      </c>
      <c r="E9" s="23">
        <v>3</v>
      </c>
      <c r="F9" s="23">
        <v>185</v>
      </c>
      <c r="G9" s="23">
        <v>2712</v>
      </c>
      <c r="H9" s="23">
        <v>673</v>
      </c>
      <c r="I9" s="6">
        <f>F9/(D9+E9)</f>
        <v>0.97368421052631582</v>
      </c>
      <c r="J9" s="6">
        <f>G9/F9</f>
        <v>14.659459459459459</v>
      </c>
      <c r="K9" s="6">
        <f>H9/(D9+E9)</f>
        <v>3.5421052631578949</v>
      </c>
      <c r="N9" s="494" t="s">
        <v>51</v>
      </c>
      <c r="O9" s="495"/>
      <c r="P9" s="495"/>
      <c r="Q9" s="495"/>
      <c r="R9" s="495"/>
      <c r="S9" s="496"/>
    </row>
    <row r="10" spans="1:19">
      <c r="A10" s="24">
        <v>45379</v>
      </c>
      <c r="B10" s="23">
        <v>1422</v>
      </c>
      <c r="C10" s="23" t="s">
        <v>61</v>
      </c>
      <c r="D10" s="23">
        <v>111</v>
      </c>
      <c r="E10" s="23">
        <v>1</v>
      </c>
      <c r="F10" s="23">
        <v>109</v>
      </c>
      <c r="G10" s="23">
        <v>1541</v>
      </c>
      <c r="H10" s="23">
        <v>490</v>
      </c>
      <c r="I10" s="6">
        <f>F10/(D10+E10)</f>
        <v>0.9732142857142857</v>
      </c>
      <c r="J10" s="6">
        <f>G10/F10</f>
        <v>14.137614678899082</v>
      </c>
      <c r="K10" s="6">
        <f>H10/(D10+E10)</f>
        <v>4.375</v>
      </c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N12" s="17">
        <v>1</v>
      </c>
      <c r="O12" s="18">
        <v>0</v>
      </c>
      <c r="P12" s="19">
        <f>O12*R7</f>
        <v>0</v>
      </c>
      <c r="Q12" s="17">
        <v>3</v>
      </c>
      <c r="R12" s="18">
        <v>35</v>
      </c>
      <c r="S12" s="19">
        <f>R12*R7</f>
        <v>501.67845293352576</v>
      </c>
    </row>
    <row r="13" spans="1:19" ht="15.7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N13" s="17">
        <v>2</v>
      </c>
      <c r="O13" s="18">
        <v>0</v>
      </c>
      <c r="P13" s="19">
        <f>O13*R7</f>
        <v>0</v>
      </c>
      <c r="Q13" s="17">
        <v>4</v>
      </c>
      <c r="R13" s="18">
        <v>35</v>
      </c>
      <c r="S13" s="19">
        <f>R7*R13</f>
        <v>501.67845293352576</v>
      </c>
    </row>
    <row r="14" spans="1:19" ht="15.7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N14" s="17">
        <v>3</v>
      </c>
      <c r="O14" s="18">
        <v>1</v>
      </c>
      <c r="P14" s="19">
        <f>R7*O14</f>
        <v>14.333670083815022</v>
      </c>
      <c r="Q14" s="17">
        <v>5</v>
      </c>
      <c r="R14" s="18">
        <v>35</v>
      </c>
      <c r="S14" s="19">
        <f>R14*R7</f>
        <v>501.67845293352576</v>
      </c>
    </row>
    <row r="15" spans="1:19" ht="15.7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N15" s="17">
        <v>4</v>
      </c>
      <c r="O15" s="18">
        <v>0</v>
      </c>
      <c r="P15" s="19">
        <f>R7*O15</f>
        <v>0</v>
      </c>
      <c r="Q15" s="17">
        <v>1</v>
      </c>
      <c r="R15" s="18">
        <v>0</v>
      </c>
      <c r="S15" s="19">
        <f>R7*R15</f>
        <v>0</v>
      </c>
    </row>
    <row r="16" spans="1:19" ht="15.7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N16" s="17">
        <v>5</v>
      </c>
      <c r="O16" s="18">
        <v>0</v>
      </c>
      <c r="P16" s="19">
        <f>R7*O16</f>
        <v>0</v>
      </c>
      <c r="Q16" s="17"/>
      <c r="R16" s="18">
        <v>10</v>
      </c>
      <c r="S16" s="19">
        <f>R7*R16</f>
        <v>143.33670083815022</v>
      </c>
    </row>
    <row r="17" spans="1:19" ht="15.7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N17" s="17">
        <v>6</v>
      </c>
      <c r="O17" s="18">
        <v>0</v>
      </c>
      <c r="P17" s="19">
        <f>R7*O17</f>
        <v>0</v>
      </c>
      <c r="Q17" s="17"/>
      <c r="R17" s="18">
        <v>10</v>
      </c>
      <c r="S17" s="19">
        <f>R7*R17</f>
        <v>143.33670083815022</v>
      </c>
    </row>
    <row r="18" spans="1:19" ht="15.7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N18" s="17">
        <v>7</v>
      </c>
      <c r="O18" s="18">
        <v>0</v>
      </c>
      <c r="P18" s="19">
        <f>R7*O18</f>
        <v>0</v>
      </c>
      <c r="Q18" s="17"/>
      <c r="R18" s="18">
        <v>30</v>
      </c>
      <c r="S18" s="19">
        <f>R7*R18</f>
        <v>430.01010251445064</v>
      </c>
    </row>
    <row r="19" spans="1:19" ht="15.7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N19" s="17">
        <v>8</v>
      </c>
      <c r="O19" s="18">
        <v>30</v>
      </c>
      <c r="P19" s="19">
        <f>R7*O19</f>
        <v>430.01010251445064</v>
      </c>
      <c r="Q19" s="17"/>
      <c r="R19" s="18">
        <v>30</v>
      </c>
      <c r="S19" s="19">
        <f>R7*R19</f>
        <v>430.01010251445064</v>
      </c>
    </row>
    <row r="20" spans="1:19" ht="15.7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N20" s="17">
        <v>9</v>
      </c>
      <c r="O20" s="18">
        <v>50</v>
      </c>
      <c r="P20" s="19">
        <f>R7*O20</f>
        <v>716.68350419075114</v>
      </c>
      <c r="Q20" s="17"/>
      <c r="R20" s="18">
        <v>20</v>
      </c>
      <c r="S20" s="19">
        <f>R7*R20</f>
        <v>286.67340167630044</v>
      </c>
    </row>
    <row r="21" spans="1:19" ht="15.75" customHeight="1">
      <c r="N21" s="20" t="s">
        <v>53</v>
      </c>
      <c r="O21" s="18">
        <v>50</v>
      </c>
      <c r="P21" s="19">
        <f>R7*O21</f>
        <v>716.68350419075114</v>
      </c>
      <c r="Q21" s="17"/>
      <c r="R21" s="18">
        <v>0</v>
      </c>
      <c r="S21" s="19">
        <f>R7*R21</f>
        <v>0</v>
      </c>
    </row>
    <row r="22" spans="1:19" ht="15.75" customHeight="1">
      <c r="N22" s="13" t="s">
        <v>59</v>
      </c>
      <c r="O22" s="21">
        <f>P8-O12-O13-O14-O15-O16-O17-O18-O19-O20-O21</f>
        <v>71.774591842397996</v>
      </c>
      <c r="P22" s="21">
        <f>Q8-P12-P13-P14-P15-P16-P17-P18-P19-P20-P21</f>
        <v>1028.7933198694136</v>
      </c>
      <c r="Q22" s="13" t="s">
        <v>59</v>
      </c>
      <c r="R22" s="21">
        <f>P8-R12-R13-R14-R15-R16-R17-R18-R19-R20-R21</f>
        <v>-2.2254081576020042</v>
      </c>
      <c r="S22" s="21">
        <f>Q8-S12-S13-S14-S15-S16-S17-S18-S19-S20-S21</f>
        <v>-31.898266332897663</v>
      </c>
    </row>
    <row r="23" spans="1:19" ht="15.75" customHeight="1">
      <c r="N23" s="13" t="s">
        <v>60</v>
      </c>
      <c r="O23" s="16">
        <f>O12+O13+O14+O15+O16+O17+O18+O19+O20+O21</f>
        <v>131</v>
      </c>
      <c r="P23" s="16">
        <f>P12+P13+P14+P15+P16+P17+P18+P19+P20+P21</f>
        <v>1877.7107809797681</v>
      </c>
      <c r="Q23" s="13" t="s">
        <v>60</v>
      </c>
      <c r="R23" s="16">
        <f>R12+R13+R14+R15+R16+R17+R18+R19+R20+R21</f>
        <v>205</v>
      </c>
      <c r="S23" s="16">
        <f>S12+S13+S14+S15+S16+S17+S18+S19+S20+S21</f>
        <v>2938.4023671820787</v>
      </c>
    </row>
    <row r="24" spans="1:19" ht="15.75" customHeight="1"/>
    <row r="25" spans="1:19" ht="15.75" customHeight="1"/>
    <row r="26" spans="1:19" ht="15.75" customHeight="1"/>
    <row r="27" spans="1:19" ht="15.75" customHeight="1"/>
    <row r="28" spans="1:19" ht="15.75" customHeight="1"/>
    <row r="29" spans="1:19" ht="15.75" customHeight="1"/>
    <row r="30" spans="1:19" ht="15.75" customHeight="1"/>
    <row r="31" spans="1:19" ht="15.75" customHeight="1"/>
    <row r="32" spans="1:1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7"/>
      <c r="O55" s="7"/>
      <c r="P55" s="7"/>
      <c r="Q55" s="7"/>
      <c r="R55" s="7"/>
      <c r="S55" s="7"/>
    </row>
    <row r="56" spans="14:19" ht="15.75" customHeight="1">
      <c r="N56" s="22"/>
      <c r="O56" s="22"/>
      <c r="P56" s="22"/>
      <c r="Q56" s="22"/>
      <c r="R56" s="22"/>
      <c r="S56" s="2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O5:O6"/>
    <mergeCell ref="N10:P10"/>
    <mergeCell ref="Q10:S10"/>
    <mergeCell ref="Q5:Q6"/>
    <mergeCell ref="R5:R6"/>
    <mergeCell ref="S5:S6"/>
    <mergeCell ref="R7:R8"/>
    <mergeCell ref="S7:S8"/>
    <mergeCell ref="N9:S9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>
  <sheetPr codeName="Лист19"/>
  <dimension ref="A1:S1000"/>
  <sheetViews>
    <sheetView workbookViewId="0">
      <selection activeCell="K4" sqref="K4"/>
    </sheetView>
  </sheetViews>
  <sheetFormatPr defaultColWidth="14.42578125" defaultRowHeight="15" customHeight="1"/>
  <cols>
    <col min="1" max="1" width="10.140625" customWidth="1"/>
    <col min="2" max="8" width="8.7109375" customWidth="1"/>
    <col min="9" max="9" width="14" customWidth="1"/>
    <col min="10" max="10" width="15.5703125" customWidth="1"/>
    <col min="11" max="11" width="12.85546875" customWidth="1"/>
    <col min="12" max="13" width="8.7109375" customWidth="1"/>
    <col min="14" max="14" width="12" customWidth="1"/>
    <col min="15" max="15" width="11.5703125" customWidth="1"/>
    <col min="16" max="16" width="13.5703125" customWidth="1"/>
    <col min="17" max="17" width="12" customWidth="1"/>
    <col min="18" max="18" width="10.42578125" customWidth="1"/>
    <col min="19" max="19" width="12.7109375" customWidth="1"/>
    <col min="20" max="26" width="8.7109375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176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/>
    </row>
    <row r="4" spans="1:19">
      <c r="A4" s="2" t="s">
        <v>27</v>
      </c>
      <c r="B4" s="2" t="s">
        <v>11</v>
      </c>
      <c r="C4" s="500">
        <f>AVERAGEA(I7:I31)</f>
        <v>0.90351932018598691</v>
      </c>
      <c r="D4" s="501"/>
      <c r="E4" s="500">
        <f>AVERAGEA(J7:J31)</f>
        <v>12.635137951154455</v>
      </c>
      <c r="F4" s="501"/>
      <c r="G4" s="500">
        <f>AVERAGEA(K7:K31)</f>
        <v>2.1917989417989419</v>
      </c>
      <c r="H4" s="501"/>
      <c r="I4" s="3">
        <f>C4*K2</f>
        <v>159.0194003527337</v>
      </c>
      <c r="J4" s="3">
        <f>I4*E4</f>
        <v>2009.2320603666496</v>
      </c>
      <c r="K4" s="3">
        <f>K2*G4</f>
        <v>385.75661375661377</v>
      </c>
    </row>
    <row r="5" spans="1:19" ht="15" customHeight="1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2"/>
      <c r="B6" s="492"/>
      <c r="C6" s="492"/>
      <c r="D6" s="492"/>
      <c r="E6" s="492"/>
      <c r="F6" s="4" t="s">
        <v>20</v>
      </c>
      <c r="G6" s="5" t="s">
        <v>21</v>
      </c>
      <c r="H6" s="492"/>
      <c r="I6" s="492"/>
      <c r="J6" s="492"/>
      <c r="K6" s="492"/>
      <c r="N6" s="492"/>
      <c r="O6" s="492"/>
      <c r="P6" s="492"/>
      <c r="Q6" s="492"/>
      <c r="R6" s="492"/>
      <c r="S6" s="492"/>
    </row>
    <row r="7" spans="1:19" ht="15.75">
      <c r="A7" s="11">
        <v>45422</v>
      </c>
      <c r="B7" s="12">
        <v>1430</v>
      </c>
      <c r="C7" s="12" t="s">
        <v>74</v>
      </c>
      <c r="D7" s="12">
        <v>184</v>
      </c>
      <c r="E7" s="12">
        <v>5</v>
      </c>
      <c r="F7" s="12">
        <v>172</v>
      </c>
      <c r="G7" s="12">
        <v>1983</v>
      </c>
      <c r="H7" s="12">
        <v>527</v>
      </c>
      <c r="I7" s="6">
        <f>F7/(D7+E7)</f>
        <v>0.91005291005291</v>
      </c>
      <c r="J7" s="6">
        <f>G7/F7</f>
        <v>11.529069767441861</v>
      </c>
      <c r="K7" s="6">
        <f>H7/(D7+E7)</f>
        <v>2.7883597883597884</v>
      </c>
      <c r="N7" s="13" t="s">
        <v>49</v>
      </c>
      <c r="O7" s="14">
        <f>K2</f>
        <v>176</v>
      </c>
      <c r="P7" s="15">
        <f>I4</f>
        <v>159.0194003527337</v>
      </c>
      <c r="Q7" s="15">
        <f>J4</f>
        <v>2009.2320603666496</v>
      </c>
      <c r="R7" s="493">
        <f>Q7/P7</f>
        <v>12.635137951154455</v>
      </c>
      <c r="S7" s="493">
        <f>P7/O7</f>
        <v>0.90351932018598691</v>
      </c>
    </row>
    <row r="8" spans="1:19" ht="15.75">
      <c r="A8" s="11">
        <v>45429</v>
      </c>
      <c r="B8" s="12">
        <v>1430</v>
      </c>
      <c r="C8" s="12" t="s">
        <v>74</v>
      </c>
      <c r="D8" s="12">
        <v>187</v>
      </c>
      <c r="E8" s="12">
        <v>11</v>
      </c>
      <c r="F8" s="12">
        <v>186</v>
      </c>
      <c r="G8" s="12">
        <v>2442</v>
      </c>
      <c r="H8" s="12">
        <v>418</v>
      </c>
      <c r="I8" s="6">
        <f>F8/(D8+E8)</f>
        <v>0.93939393939393945</v>
      </c>
      <c r="J8" s="6">
        <f>G8/F8</f>
        <v>13.129032258064516</v>
      </c>
      <c r="K8" s="6">
        <f>H8/(D8+E8)</f>
        <v>2.1111111111111112</v>
      </c>
      <c r="N8" s="13" t="s">
        <v>50</v>
      </c>
      <c r="O8" s="14">
        <f>O7</f>
        <v>176</v>
      </c>
      <c r="P8" s="16">
        <f>O8*S7</f>
        <v>159.0194003527337</v>
      </c>
      <c r="Q8" s="16">
        <f>P8*R7</f>
        <v>2009.2320603666496</v>
      </c>
      <c r="R8" s="492"/>
      <c r="S8" s="492"/>
    </row>
    <row r="9" spans="1:19">
      <c r="A9" s="11">
        <v>45436</v>
      </c>
      <c r="B9" s="12">
        <v>1430</v>
      </c>
      <c r="C9" s="12" t="s">
        <v>74</v>
      </c>
      <c r="D9" s="12">
        <v>198</v>
      </c>
      <c r="E9" s="12">
        <v>18</v>
      </c>
      <c r="F9" s="12">
        <v>186</v>
      </c>
      <c r="G9" s="12">
        <v>2464</v>
      </c>
      <c r="H9" s="12">
        <v>362</v>
      </c>
      <c r="I9" s="6">
        <f>F9/(D9+E9)</f>
        <v>0.86111111111111116</v>
      </c>
      <c r="J9" s="6">
        <f>G9/F9</f>
        <v>13.24731182795699</v>
      </c>
      <c r="K9" s="6">
        <f>H9/(D9+E9)</f>
        <v>1.6759259259259258</v>
      </c>
      <c r="N9" s="494" t="s">
        <v>51</v>
      </c>
      <c r="O9" s="495"/>
      <c r="P9" s="495"/>
      <c r="Q9" s="495"/>
      <c r="R9" s="495"/>
      <c r="S9" s="496"/>
    </row>
    <row r="10" spans="1:19">
      <c r="A10" s="8"/>
      <c r="B10" s="7"/>
      <c r="C10" s="7"/>
      <c r="D10" s="7"/>
      <c r="E10" s="7"/>
      <c r="F10" s="7"/>
      <c r="G10" s="7"/>
      <c r="H10" s="7"/>
      <c r="I10" s="6"/>
      <c r="J10" s="6"/>
      <c r="K10" s="6"/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8"/>
      <c r="B11" s="7"/>
      <c r="C11" s="7"/>
      <c r="D11" s="7"/>
      <c r="E11" s="7"/>
      <c r="F11" s="7"/>
      <c r="G11" s="7"/>
      <c r="H11" s="7"/>
      <c r="I11" s="6"/>
      <c r="J11" s="9"/>
      <c r="K11" s="9"/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8"/>
      <c r="B12" s="7"/>
      <c r="C12" s="7"/>
      <c r="D12" s="7"/>
      <c r="E12" s="7"/>
      <c r="F12" s="7"/>
      <c r="G12" s="7"/>
      <c r="H12" s="7"/>
      <c r="I12" s="6"/>
      <c r="J12" s="9"/>
      <c r="K12" s="9"/>
      <c r="N12" s="17">
        <v>1</v>
      </c>
      <c r="O12" s="18">
        <v>0</v>
      </c>
      <c r="P12" s="19">
        <f>O12*R7</f>
        <v>0</v>
      </c>
      <c r="Q12" s="17">
        <v>3</v>
      </c>
      <c r="R12" s="18">
        <v>40</v>
      </c>
      <c r="S12" s="19">
        <f>R12*R7</f>
        <v>505.4055180461782</v>
      </c>
    </row>
    <row r="13" spans="1:19" ht="15.75">
      <c r="A13" s="8"/>
      <c r="B13" s="7"/>
      <c r="C13" s="7"/>
      <c r="D13" s="7"/>
      <c r="E13" s="7"/>
      <c r="F13" s="7"/>
      <c r="G13" s="7"/>
      <c r="H13" s="7"/>
      <c r="I13" s="6"/>
      <c r="J13" s="9"/>
      <c r="K13" s="9"/>
      <c r="N13" s="17">
        <v>2</v>
      </c>
      <c r="O13" s="18">
        <v>0</v>
      </c>
      <c r="P13" s="19">
        <f>O13*R7</f>
        <v>0</v>
      </c>
      <c r="Q13" s="17">
        <v>4</v>
      </c>
      <c r="R13" s="18">
        <v>121</v>
      </c>
      <c r="S13" s="19">
        <f>R7*R13</f>
        <v>1528.8516920896891</v>
      </c>
    </row>
    <row r="14" spans="1:19" ht="15.75">
      <c r="A14" s="8"/>
      <c r="B14" s="7"/>
      <c r="C14" s="7"/>
      <c r="D14" s="7"/>
      <c r="E14" s="7"/>
      <c r="F14" s="7"/>
      <c r="G14" s="7"/>
      <c r="H14" s="7"/>
      <c r="I14" s="6"/>
      <c r="J14" s="9"/>
      <c r="K14" s="9"/>
      <c r="N14" s="17">
        <v>3</v>
      </c>
      <c r="O14" s="18">
        <v>1</v>
      </c>
      <c r="P14" s="19">
        <f>R7*O14</f>
        <v>12.635137951154455</v>
      </c>
      <c r="Q14" s="17">
        <v>5</v>
      </c>
      <c r="R14" s="18">
        <v>0</v>
      </c>
      <c r="S14" s="19">
        <f>R14*R7</f>
        <v>0</v>
      </c>
    </row>
    <row r="15" spans="1:19" ht="15.75">
      <c r="A15" s="8"/>
      <c r="B15" s="7"/>
      <c r="C15" s="7"/>
      <c r="D15" s="7"/>
      <c r="E15" s="7"/>
      <c r="F15" s="7"/>
      <c r="G15" s="7"/>
      <c r="H15" s="7"/>
      <c r="I15" s="6"/>
      <c r="J15" s="9"/>
      <c r="K15" s="9"/>
      <c r="N15" s="17">
        <v>4</v>
      </c>
      <c r="O15" s="18">
        <v>0</v>
      </c>
      <c r="P15" s="19">
        <f>R7*O15</f>
        <v>0</v>
      </c>
      <c r="Q15" s="17">
        <v>1</v>
      </c>
      <c r="R15" s="18">
        <v>0</v>
      </c>
      <c r="S15" s="19">
        <f>R7*R15</f>
        <v>0</v>
      </c>
    </row>
    <row r="16" spans="1:19" ht="15.75">
      <c r="A16" s="8"/>
      <c r="B16" s="7"/>
      <c r="C16" s="7"/>
      <c r="D16" s="7"/>
      <c r="E16" s="7"/>
      <c r="F16" s="7"/>
      <c r="G16" s="7"/>
      <c r="H16" s="7"/>
      <c r="I16" s="6"/>
      <c r="J16" s="9"/>
      <c r="K16" s="9"/>
      <c r="N16" s="17">
        <v>5</v>
      </c>
      <c r="O16" s="18">
        <v>0</v>
      </c>
      <c r="P16" s="19">
        <f>R7*O16</f>
        <v>0</v>
      </c>
      <c r="Q16" s="17"/>
      <c r="R16" s="18">
        <v>0</v>
      </c>
      <c r="S16" s="19">
        <f>R7*R16</f>
        <v>0</v>
      </c>
    </row>
    <row r="17" spans="1:19" ht="15.75">
      <c r="A17" s="8"/>
      <c r="B17" s="7"/>
      <c r="C17" s="7"/>
      <c r="D17" s="7"/>
      <c r="E17" s="7"/>
      <c r="F17" s="7"/>
      <c r="G17" s="7"/>
      <c r="H17" s="7"/>
      <c r="I17" s="6"/>
      <c r="J17" s="9"/>
      <c r="K17" s="9"/>
      <c r="N17" s="17">
        <v>6</v>
      </c>
      <c r="O17" s="18">
        <v>0</v>
      </c>
      <c r="P17" s="19">
        <f>R7*O17</f>
        <v>0</v>
      </c>
      <c r="Q17" s="17"/>
      <c r="R17" s="18">
        <v>0</v>
      </c>
      <c r="S17" s="19">
        <f>R7*R17</f>
        <v>0</v>
      </c>
    </row>
    <row r="18" spans="1:19" ht="15.75">
      <c r="A18" s="8"/>
      <c r="B18" s="7"/>
      <c r="C18" s="7"/>
      <c r="D18" s="7"/>
      <c r="E18" s="7"/>
      <c r="F18" s="7"/>
      <c r="G18" s="7"/>
      <c r="H18" s="7"/>
      <c r="I18" s="6"/>
      <c r="J18" s="9"/>
      <c r="K18" s="9"/>
      <c r="N18" s="17">
        <v>7</v>
      </c>
      <c r="O18" s="18">
        <v>0</v>
      </c>
      <c r="P18" s="19">
        <f>R7*O18</f>
        <v>0</v>
      </c>
      <c r="Q18" s="17"/>
      <c r="R18" s="18">
        <v>0</v>
      </c>
      <c r="S18" s="19">
        <f>R7*R18</f>
        <v>0</v>
      </c>
    </row>
    <row r="19" spans="1:19" ht="15.75">
      <c r="A19" s="8"/>
      <c r="B19" s="7"/>
      <c r="C19" s="7"/>
      <c r="D19" s="7"/>
      <c r="E19" s="7"/>
      <c r="F19" s="7"/>
      <c r="G19" s="7"/>
      <c r="H19" s="7"/>
      <c r="I19" s="6"/>
      <c r="J19" s="9"/>
      <c r="K19" s="9"/>
      <c r="N19" s="17">
        <v>8</v>
      </c>
      <c r="O19" s="18">
        <v>30</v>
      </c>
      <c r="P19" s="19">
        <f>R7*O19</f>
        <v>379.05413853463364</v>
      </c>
      <c r="Q19" s="17"/>
      <c r="R19" s="18">
        <v>0</v>
      </c>
      <c r="S19" s="19">
        <f>R7*R19</f>
        <v>0</v>
      </c>
    </row>
    <row r="20" spans="1:19" ht="15.75">
      <c r="A20" s="8"/>
      <c r="B20" s="7"/>
      <c r="C20" s="7"/>
      <c r="D20" s="7"/>
      <c r="E20" s="7"/>
      <c r="F20" s="7"/>
      <c r="G20" s="7"/>
      <c r="H20" s="7"/>
      <c r="I20" s="9"/>
      <c r="J20" s="9"/>
      <c r="K20" s="9"/>
      <c r="N20" s="17">
        <v>9</v>
      </c>
      <c r="O20" s="18">
        <v>50</v>
      </c>
      <c r="P20" s="19">
        <f>R7*O20</f>
        <v>631.75689755772271</v>
      </c>
      <c r="Q20" s="17"/>
      <c r="R20" s="18">
        <v>0</v>
      </c>
      <c r="S20" s="19">
        <f>R7*R20</f>
        <v>0</v>
      </c>
    </row>
    <row r="21" spans="1:19" ht="15.75" customHeight="1">
      <c r="A21" s="8"/>
      <c r="B21" s="7"/>
      <c r="C21" s="7"/>
      <c r="D21" s="7"/>
      <c r="E21" s="7"/>
      <c r="F21" s="7"/>
      <c r="G21" s="7"/>
      <c r="H21" s="7"/>
      <c r="I21" s="9"/>
      <c r="J21" s="9"/>
      <c r="K21" s="9"/>
      <c r="N21" s="20" t="s">
        <v>53</v>
      </c>
      <c r="O21" s="18">
        <v>50</v>
      </c>
      <c r="P21" s="19">
        <f>R7*O21</f>
        <v>631.75689755772271</v>
      </c>
      <c r="Q21" s="17"/>
      <c r="R21" s="18"/>
      <c r="S21" s="19">
        <f>R7*R21</f>
        <v>0</v>
      </c>
    </row>
    <row r="22" spans="1:19" ht="15.75" customHeight="1">
      <c r="A22" s="8"/>
      <c r="B22" s="7"/>
      <c r="C22" s="7"/>
      <c r="D22" s="7"/>
      <c r="E22" s="7"/>
      <c r="F22" s="7"/>
      <c r="G22" s="7"/>
      <c r="H22" s="7"/>
      <c r="I22" s="9"/>
      <c r="J22" s="9"/>
      <c r="K22" s="9"/>
      <c r="N22" s="13" t="s">
        <v>59</v>
      </c>
      <c r="O22" s="21">
        <f>P8-O12-O13-O14-O15-O16-O17-O18-O19-O20-O21</f>
        <v>28.019400352733697</v>
      </c>
      <c r="P22" s="21">
        <f>Q8-P12-P13-P14-P15-P16-P17-P18-P19-P20-P21</f>
        <v>354.02898876541599</v>
      </c>
      <c r="Q22" s="13" t="s">
        <v>59</v>
      </c>
      <c r="R22" s="21">
        <f>P8-R12-R13-R14-R15-R16-R17-R18-R19-R20-R21</f>
        <v>-1.9805996472663026</v>
      </c>
      <c r="S22" s="21">
        <f>Q8-S12-S13-S14-S15-S16-S17-S18-S19-S20-S21</f>
        <v>-25.025149769217705</v>
      </c>
    </row>
    <row r="23" spans="1:19" ht="15.75" customHeight="1">
      <c r="A23" s="8"/>
      <c r="B23" s="7"/>
      <c r="C23" s="7"/>
      <c r="D23" s="7"/>
      <c r="E23" s="7"/>
      <c r="F23" s="7"/>
      <c r="G23" s="7"/>
      <c r="H23" s="7"/>
      <c r="I23" s="9"/>
      <c r="J23" s="9"/>
      <c r="K23" s="9"/>
      <c r="N23" s="13" t="s">
        <v>60</v>
      </c>
      <c r="O23" s="16">
        <f>O12+O13+O14+O15+O16+O17+O18+O19+O20+O21</f>
        <v>131</v>
      </c>
      <c r="P23" s="16">
        <f>P12+P13+P14+P15+P16+P17+P18+P19+P20+P21</f>
        <v>1655.2030716012337</v>
      </c>
      <c r="Q23" s="13" t="s">
        <v>60</v>
      </c>
      <c r="R23" s="16">
        <f>R12+R13+R14+R15+R16+R17+R18+R19+R20+R21</f>
        <v>161</v>
      </c>
      <c r="S23" s="16">
        <f>S12+S13+S14+S15+S16+S17+S18+S19+S20+S21</f>
        <v>2034.2572101358674</v>
      </c>
    </row>
    <row r="24" spans="1:19" ht="15.75" customHeight="1">
      <c r="A24" s="8"/>
      <c r="B24" s="7"/>
      <c r="C24" s="7"/>
      <c r="D24" s="7"/>
      <c r="E24" s="7"/>
      <c r="F24" s="7"/>
      <c r="G24" s="7"/>
      <c r="H24" s="7"/>
      <c r="I24" s="9"/>
      <c r="J24" s="9"/>
      <c r="K24" s="9"/>
    </row>
    <row r="25" spans="1:19" ht="15.75" customHeight="1">
      <c r="A25" s="8"/>
      <c r="B25" s="7"/>
      <c r="C25" s="7"/>
      <c r="D25" s="7"/>
      <c r="E25" s="7"/>
      <c r="F25" s="7"/>
      <c r="G25" s="7"/>
      <c r="H25" s="7"/>
      <c r="I25" s="9"/>
      <c r="J25" s="9"/>
      <c r="K25" s="9"/>
    </row>
    <row r="26" spans="1:19" ht="15.75" customHeight="1">
      <c r="A26" s="8"/>
      <c r="B26" s="7"/>
      <c r="C26" s="7"/>
      <c r="D26" s="7"/>
      <c r="E26" s="7"/>
      <c r="F26" s="7"/>
      <c r="G26" s="7"/>
      <c r="H26" s="7"/>
      <c r="I26" s="9"/>
      <c r="J26" s="9"/>
      <c r="K26" s="9"/>
    </row>
    <row r="27" spans="1:19" ht="15.75" customHeight="1">
      <c r="A27" s="8"/>
      <c r="B27" s="7"/>
      <c r="C27" s="7"/>
      <c r="D27" s="7"/>
      <c r="E27" s="7"/>
      <c r="F27" s="7"/>
      <c r="G27" s="7"/>
      <c r="H27" s="7"/>
      <c r="I27" s="9"/>
      <c r="J27" s="9"/>
      <c r="K27" s="9"/>
    </row>
    <row r="28" spans="1:19" ht="15.75" customHeight="1">
      <c r="A28" s="8"/>
      <c r="B28" s="7"/>
      <c r="C28" s="7"/>
      <c r="D28" s="7"/>
      <c r="E28" s="7"/>
      <c r="F28" s="7"/>
      <c r="G28" s="7"/>
      <c r="H28" s="7"/>
      <c r="I28" s="9"/>
      <c r="J28" s="9"/>
      <c r="K28" s="9"/>
    </row>
    <row r="29" spans="1:19" ht="15.75" customHeight="1">
      <c r="A29" s="8"/>
      <c r="B29" s="7"/>
      <c r="C29" s="7"/>
      <c r="D29" s="7"/>
      <c r="E29" s="7"/>
      <c r="F29" s="7"/>
      <c r="G29" s="7"/>
      <c r="H29" s="7"/>
      <c r="I29" s="9"/>
      <c r="J29" s="9"/>
      <c r="K29" s="9"/>
    </row>
    <row r="30" spans="1:19" ht="15.75" customHeight="1">
      <c r="A30" s="7"/>
      <c r="B30" s="7"/>
      <c r="C30" s="7"/>
      <c r="D30" s="7"/>
      <c r="E30" s="7"/>
      <c r="F30" s="7"/>
      <c r="G30" s="7"/>
      <c r="H30" s="7"/>
      <c r="I30" s="9"/>
      <c r="J30" s="9"/>
      <c r="K30" s="9"/>
    </row>
    <row r="31" spans="1:19" ht="15.75" customHeight="1">
      <c r="A31" s="7"/>
      <c r="B31" s="7"/>
      <c r="C31" s="7"/>
      <c r="D31" s="7"/>
      <c r="E31" s="7"/>
      <c r="F31" s="7"/>
      <c r="G31" s="7"/>
      <c r="H31" s="7"/>
      <c r="I31" s="6"/>
      <c r="J31" s="9"/>
      <c r="K31" s="9"/>
    </row>
    <row r="32" spans="1:19" ht="15.75" customHeight="1">
      <c r="I32" s="1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7"/>
      <c r="O55" s="7"/>
      <c r="P55" s="7"/>
      <c r="Q55" s="7"/>
      <c r="R55" s="7"/>
      <c r="S55" s="7"/>
    </row>
    <row r="56" spans="14:19" ht="15.75" customHeight="1">
      <c r="N56" s="22"/>
      <c r="O56" s="22"/>
      <c r="P56" s="22"/>
      <c r="Q56" s="22"/>
      <c r="R56" s="22"/>
      <c r="S56" s="2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O5:O6"/>
    <mergeCell ref="N10:P10"/>
    <mergeCell ref="Q10:S10"/>
    <mergeCell ref="Q5:Q6"/>
    <mergeCell ref="R5:R6"/>
    <mergeCell ref="S5:S6"/>
    <mergeCell ref="R7:R8"/>
    <mergeCell ref="S7:S8"/>
    <mergeCell ref="N9:S9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27"/>
  <sheetViews>
    <sheetView workbookViewId="0">
      <selection activeCell="K10" sqref="K10"/>
    </sheetView>
  </sheetViews>
  <sheetFormatPr defaultRowHeight="15"/>
  <cols>
    <col min="1" max="1" width="10.7109375" bestFit="1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206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/>
    </row>
    <row r="4" spans="1:19">
      <c r="A4" s="2" t="s">
        <v>27</v>
      </c>
      <c r="B4" s="2" t="s">
        <v>30</v>
      </c>
      <c r="C4" s="500">
        <f>AVERAGEA(I7:I40)</f>
        <v>0.79911642411642414</v>
      </c>
      <c r="D4" s="501"/>
      <c r="E4" s="500">
        <f>AVERAGEA(J7:J40)</f>
        <v>14.158424908424909</v>
      </c>
      <c r="F4" s="501"/>
      <c r="G4" s="500">
        <f>AVERAGEA(K7:K40)</f>
        <v>1.482934857934858</v>
      </c>
      <c r="H4" s="501"/>
      <c r="I4" s="3">
        <f>C4*K2</f>
        <v>164.61798336798338</v>
      </c>
      <c r="J4" s="3">
        <f>I4*E4</f>
        <v>2330.7313560919333</v>
      </c>
      <c r="K4" s="3">
        <f>K2*G4</f>
        <v>305.48458073458073</v>
      </c>
    </row>
    <row r="5" spans="1:19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  <c r="N6" s="492"/>
      <c r="O6" s="492"/>
      <c r="P6" s="492"/>
      <c r="Q6" s="492"/>
      <c r="R6" s="492"/>
      <c r="S6" s="492"/>
    </row>
    <row r="7" spans="1:19" ht="15.75">
      <c r="A7" s="28">
        <v>46207</v>
      </c>
      <c r="B7" s="29">
        <v>1446</v>
      </c>
      <c r="C7" s="29" t="s">
        <v>62</v>
      </c>
      <c r="D7" s="29">
        <v>138</v>
      </c>
      <c r="E7" s="29">
        <v>10</v>
      </c>
      <c r="F7" s="29">
        <v>117</v>
      </c>
      <c r="G7" s="29">
        <v>1624</v>
      </c>
      <c r="H7" s="29">
        <v>68</v>
      </c>
      <c r="I7" s="25">
        <f t="shared" ref="I7:I8" si="0">F7/(D7+E7)</f>
        <v>0.79054054054054057</v>
      </c>
      <c r="J7" s="25">
        <f t="shared" ref="J7:J8" si="1">G7/F7</f>
        <v>13.880341880341881</v>
      </c>
      <c r="K7" s="25">
        <f t="shared" ref="K7:K8" si="2">H7/(D7+E7)</f>
        <v>0.45945945945945948</v>
      </c>
      <c r="N7" s="13" t="s">
        <v>49</v>
      </c>
      <c r="O7" s="14">
        <f>K2</f>
        <v>206</v>
      </c>
      <c r="P7" s="15">
        <f>I4</f>
        <v>164.61798336798338</v>
      </c>
      <c r="Q7" s="15">
        <f>J4</f>
        <v>2330.7313560919333</v>
      </c>
      <c r="R7" s="493">
        <f>Q7/P7</f>
        <v>14.158424908424909</v>
      </c>
      <c r="S7" s="493">
        <f>P7/O7</f>
        <v>0.79911642411642425</v>
      </c>
    </row>
    <row r="8" spans="1:19" ht="15.75">
      <c r="A8" s="24">
        <v>46214</v>
      </c>
      <c r="B8" s="23">
        <v>1446</v>
      </c>
      <c r="C8" s="23" t="s">
        <v>62</v>
      </c>
      <c r="D8" s="23">
        <v>135</v>
      </c>
      <c r="E8" s="23">
        <v>21</v>
      </c>
      <c r="F8" s="23">
        <v>126</v>
      </c>
      <c r="G8" s="23">
        <v>1819</v>
      </c>
      <c r="H8" s="23">
        <v>391</v>
      </c>
      <c r="I8" s="25">
        <f t="shared" si="0"/>
        <v>0.80769230769230771</v>
      </c>
      <c r="J8" s="25">
        <f t="shared" si="1"/>
        <v>14.436507936507937</v>
      </c>
      <c r="K8" s="25">
        <f t="shared" si="2"/>
        <v>2.5064102564102564</v>
      </c>
      <c r="N8" s="13" t="s">
        <v>50</v>
      </c>
      <c r="O8" s="14">
        <f>O7</f>
        <v>206</v>
      </c>
      <c r="P8" s="16">
        <f>O8*S7</f>
        <v>164.61798336798338</v>
      </c>
      <c r="Q8" s="16">
        <f>P8*R7</f>
        <v>2330.7313560919333</v>
      </c>
      <c r="R8" s="492"/>
      <c r="S8" s="492"/>
    </row>
    <row r="9" spans="1:19">
      <c r="A9" s="24"/>
      <c r="B9" s="23"/>
      <c r="C9" s="23"/>
      <c r="D9" s="23"/>
      <c r="E9" s="23"/>
      <c r="F9" s="23"/>
      <c r="G9" s="23"/>
      <c r="H9" s="23"/>
      <c r="I9" s="25"/>
      <c r="J9" s="25"/>
      <c r="K9" s="25"/>
      <c r="N9" s="494" t="s">
        <v>51</v>
      </c>
      <c r="O9" s="495"/>
      <c r="P9" s="495"/>
      <c r="Q9" s="495"/>
      <c r="R9" s="495"/>
      <c r="S9" s="496"/>
    </row>
    <row r="10" spans="1:19">
      <c r="A10" s="24"/>
      <c r="B10" s="23"/>
      <c r="C10" s="23"/>
      <c r="D10" s="23"/>
      <c r="E10" s="23"/>
      <c r="F10" s="23"/>
      <c r="G10" s="23"/>
      <c r="H10" s="23"/>
      <c r="I10" s="25"/>
      <c r="J10" s="25"/>
      <c r="K10" s="25"/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24"/>
      <c r="B11" s="23"/>
      <c r="C11" s="389"/>
      <c r="D11" s="23"/>
      <c r="E11" s="23"/>
      <c r="F11" s="23"/>
      <c r="G11" s="23"/>
      <c r="H11" s="23"/>
      <c r="I11" s="25"/>
      <c r="J11" s="25"/>
      <c r="K11" s="25"/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24"/>
      <c r="B12" s="23"/>
      <c r="C12" s="23"/>
      <c r="D12" s="23"/>
      <c r="E12" s="23"/>
      <c r="F12" s="23"/>
      <c r="G12" s="23"/>
      <c r="H12" s="23"/>
      <c r="I12" s="25"/>
      <c r="J12" s="25"/>
      <c r="K12" s="25"/>
      <c r="N12" s="17">
        <v>1</v>
      </c>
      <c r="O12" s="18">
        <v>0</v>
      </c>
      <c r="P12" s="19">
        <f>O12*R7</f>
        <v>0</v>
      </c>
      <c r="Q12" s="17">
        <v>3</v>
      </c>
      <c r="R12" s="18">
        <v>40</v>
      </c>
      <c r="S12" s="19">
        <f>R12*R7</f>
        <v>566.33699633699632</v>
      </c>
    </row>
    <row r="13" spans="1:19" ht="15.75">
      <c r="A13" s="24"/>
      <c r="B13" s="23"/>
      <c r="C13" s="23"/>
      <c r="D13" s="23"/>
      <c r="E13" s="23"/>
      <c r="F13" s="23"/>
      <c r="G13" s="23"/>
      <c r="H13" s="23"/>
      <c r="I13" s="25"/>
      <c r="J13" s="25"/>
      <c r="K13" s="25"/>
      <c r="N13" s="17">
        <v>2</v>
      </c>
      <c r="O13" s="18">
        <v>0</v>
      </c>
      <c r="P13" s="19">
        <f>O13*R7</f>
        <v>0</v>
      </c>
      <c r="Q13" s="17">
        <v>4</v>
      </c>
      <c r="R13" s="18">
        <v>40</v>
      </c>
      <c r="S13" s="19">
        <f>R7*R13</f>
        <v>566.33699633699632</v>
      </c>
    </row>
    <row r="14" spans="1:19" ht="15.75">
      <c r="A14" s="24"/>
      <c r="B14" s="23"/>
      <c r="C14" s="23"/>
      <c r="D14" s="23"/>
      <c r="E14" s="23"/>
      <c r="F14" s="23"/>
      <c r="G14" s="23"/>
      <c r="H14" s="23"/>
      <c r="I14" s="25"/>
      <c r="J14" s="25"/>
      <c r="K14" s="25"/>
      <c r="N14" s="17">
        <v>3</v>
      </c>
      <c r="O14" s="18">
        <v>1</v>
      </c>
      <c r="P14" s="19">
        <f>R7*O14</f>
        <v>14.158424908424909</v>
      </c>
      <c r="Q14" s="17">
        <v>5</v>
      </c>
      <c r="R14" s="18">
        <v>40</v>
      </c>
      <c r="S14" s="19">
        <f>R14*R7</f>
        <v>566.33699633699632</v>
      </c>
    </row>
    <row r="15" spans="1:19" ht="15.75">
      <c r="A15" s="24"/>
      <c r="B15" s="23"/>
      <c r="C15" s="23"/>
      <c r="D15" s="23"/>
      <c r="E15" s="23"/>
      <c r="F15" s="23"/>
      <c r="G15" s="23"/>
      <c r="H15" s="23"/>
      <c r="I15" s="25"/>
      <c r="J15" s="25"/>
      <c r="K15" s="25"/>
      <c r="N15" s="17">
        <v>4</v>
      </c>
      <c r="O15" s="18">
        <v>0</v>
      </c>
      <c r="P15" s="19">
        <f>R7*O15</f>
        <v>0</v>
      </c>
      <c r="Q15" s="17">
        <v>1</v>
      </c>
      <c r="R15" s="18">
        <v>40</v>
      </c>
      <c r="S15" s="19">
        <f>R7*R15</f>
        <v>566.33699633699632</v>
      </c>
    </row>
    <row r="16" spans="1:19" ht="15.75">
      <c r="A16" s="24"/>
      <c r="B16" s="23"/>
      <c r="C16" s="23"/>
      <c r="D16" s="23"/>
      <c r="E16" s="23"/>
      <c r="F16" s="23"/>
      <c r="G16" s="23"/>
      <c r="H16" s="23"/>
      <c r="I16" s="25"/>
      <c r="J16" s="25"/>
      <c r="K16" s="25"/>
      <c r="N16" s="17">
        <v>5</v>
      </c>
      <c r="O16" s="18">
        <v>0</v>
      </c>
      <c r="P16" s="19">
        <f>R7*O16</f>
        <v>0</v>
      </c>
      <c r="Q16" s="17"/>
      <c r="R16" s="18">
        <v>38</v>
      </c>
      <c r="S16" s="19">
        <f>R7*R16</f>
        <v>538.02014652014657</v>
      </c>
    </row>
    <row r="17" spans="1:19" ht="15.75">
      <c r="A17" s="24"/>
      <c r="B17" s="23"/>
      <c r="C17" s="23"/>
      <c r="D17" s="23"/>
      <c r="E17" s="23"/>
      <c r="F17" s="23"/>
      <c r="G17" s="23"/>
      <c r="H17" s="23"/>
      <c r="I17" s="25"/>
      <c r="J17" s="25"/>
      <c r="K17" s="25"/>
      <c r="N17" s="17">
        <v>6</v>
      </c>
      <c r="O17" s="18">
        <v>0</v>
      </c>
      <c r="P17" s="19">
        <f>R7*O17</f>
        <v>0</v>
      </c>
      <c r="Q17" s="17"/>
      <c r="R17" s="18">
        <v>0</v>
      </c>
      <c r="S17" s="19">
        <f>R7*R17</f>
        <v>0</v>
      </c>
    </row>
    <row r="18" spans="1:19" ht="15.75">
      <c r="A18" s="24"/>
      <c r="B18" s="23"/>
      <c r="C18" s="23"/>
      <c r="D18" s="23"/>
      <c r="E18" s="23"/>
      <c r="F18" s="23"/>
      <c r="G18" s="23"/>
      <c r="H18" s="23"/>
      <c r="I18" s="25"/>
      <c r="J18" s="25"/>
      <c r="K18" s="25"/>
      <c r="N18" s="17">
        <v>7</v>
      </c>
      <c r="O18" s="18">
        <v>0</v>
      </c>
      <c r="P18" s="19">
        <f>R7*O18</f>
        <v>0</v>
      </c>
      <c r="Q18" s="17"/>
      <c r="R18" s="18">
        <v>0</v>
      </c>
      <c r="S18" s="19">
        <f>R7*R18</f>
        <v>0</v>
      </c>
    </row>
    <row r="19" spans="1:19" ht="15.75">
      <c r="A19" s="24"/>
      <c r="B19" s="23"/>
      <c r="C19" s="23"/>
      <c r="D19" s="23"/>
      <c r="E19" s="23"/>
      <c r="F19" s="23"/>
      <c r="G19" s="23"/>
      <c r="H19" s="23"/>
      <c r="I19" s="25"/>
      <c r="J19" s="25"/>
      <c r="K19" s="25"/>
      <c r="N19" s="17">
        <v>8</v>
      </c>
      <c r="O19" s="18">
        <v>30</v>
      </c>
      <c r="P19" s="19">
        <f>R7*O19</f>
        <v>424.75274725274727</v>
      </c>
      <c r="Q19" s="17"/>
      <c r="R19" s="18">
        <v>0</v>
      </c>
      <c r="S19" s="19">
        <f>R7*R19</f>
        <v>0</v>
      </c>
    </row>
    <row r="20" spans="1:19" ht="15.7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N20" s="17">
        <v>9</v>
      </c>
      <c r="O20" s="18">
        <v>50</v>
      </c>
      <c r="P20" s="19">
        <f>R7*O20</f>
        <v>707.92124542124543</v>
      </c>
      <c r="Q20" s="17"/>
      <c r="R20" s="18">
        <v>0</v>
      </c>
      <c r="S20" s="19">
        <f>R7*R20</f>
        <v>0</v>
      </c>
    </row>
    <row r="21" spans="1:19" ht="15.7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N21" s="20" t="s">
        <v>53</v>
      </c>
      <c r="O21" s="18">
        <v>50</v>
      </c>
      <c r="P21" s="19">
        <f>R7*O21</f>
        <v>707.92124542124543</v>
      </c>
      <c r="Q21" s="17"/>
      <c r="R21" s="18"/>
      <c r="S21" s="19">
        <f>R7*R21</f>
        <v>0</v>
      </c>
    </row>
    <row r="22" spans="1:19" ht="15.7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N22" s="13" t="s">
        <v>59</v>
      </c>
      <c r="O22" s="21">
        <f>P8-O12-O13-O14-O15-O16-O17-O18-O19-O20-O21</f>
        <v>33.617983367983385</v>
      </c>
      <c r="P22" s="21">
        <f>Q8-P12-P13-P14-P15-P16-P17-P18-P19-P20-P21</f>
        <v>475.97769308827037</v>
      </c>
      <c r="Q22" s="13" t="s">
        <v>59</v>
      </c>
      <c r="R22" s="21">
        <f>P8-R12-R13-R14-R15-R16-R17-R18-R19-R20-R21</f>
        <v>-33.382016632016615</v>
      </c>
      <c r="S22" s="21">
        <f>Q8-S12-S13-S14-S15-S16-S17-S18-S19-S20-S21</f>
        <v>-472.63677577619876</v>
      </c>
    </row>
    <row r="23" spans="1:19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N23" s="13" t="s">
        <v>60</v>
      </c>
      <c r="O23" s="16">
        <f>O12+O13+O14+O15+O16+O17+O18+O19+O20+O21</f>
        <v>131</v>
      </c>
      <c r="P23" s="16">
        <f>P12+P13+P14+P15+P16+P17+P18+P19+P20+P21</f>
        <v>1854.7536630036632</v>
      </c>
      <c r="Q23" s="13" t="s">
        <v>60</v>
      </c>
      <c r="R23" s="16">
        <f>R12+R13+R14+R15+R16+R17+R18+R19+R20+R21</f>
        <v>198</v>
      </c>
      <c r="S23" s="16">
        <f>S12+S13+S14+S15+S16+S17+S18+S19+S20+S21</f>
        <v>2803.368131868132</v>
      </c>
    </row>
    <row r="24" spans="1:19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9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</row>
    <row r="26" spans="1:19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spans="1:19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</row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O5:O6"/>
    <mergeCell ref="N10:P10"/>
    <mergeCell ref="Q10:S10"/>
    <mergeCell ref="Q5:Q6"/>
    <mergeCell ref="R5:R6"/>
    <mergeCell ref="S5:S6"/>
    <mergeCell ref="R7:R8"/>
    <mergeCell ref="S7:S8"/>
    <mergeCell ref="N9:S9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sheetPr codeName="Лист20"/>
  <dimension ref="A1:S1000"/>
  <sheetViews>
    <sheetView workbookViewId="0">
      <selection activeCell="K9" sqref="K9"/>
    </sheetView>
  </sheetViews>
  <sheetFormatPr defaultColWidth="14.42578125" defaultRowHeight="15" customHeight="1"/>
  <cols>
    <col min="1" max="1" width="10.140625" customWidth="1"/>
    <col min="2" max="8" width="8.7109375" customWidth="1"/>
    <col min="9" max="9" width="14" customWidth="1"/>
    <col min="10" max="10" width="15.5703125" customWidth="1"/>
    <col min="11" max="11" width="12.85546875" customWidth="1"/>
    <col min="12" max="13" width="8.7109375" customWidth="1"/>
    <col min="14" max="14" width="12" customWidth="1"/>
    <col min="15" max="15" width="11.5703125" customWidth="1"/>
    <col min="16" max="16" width="13.5703125" customWidth="1"/>
    <col min="17" max="17" width="12" customWidth="1"/>
    <col min="18" max="18" width="10.42578125" customWidth="1"/>
    <col min="19" max="19" width="12.7109375" customWidth="1"/>
    <col min="20" max="26" width="8.7109375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436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41</v>
      </c>
      <c r="B4" s="2" t="s">
        <v>12</v>
      </c>
      <c r="C4" s="500">
        <f>AVERAGEA(I7:I40)</f>
        <v>0.79327121650185872</v>
      </c>
      <c r="D4" s="501"/>
      <c r="E4" s="500">
        <f>AVERAGEA(J7:J40)</f>
        <v>13.173699219177465</v>
      </c>
      <c r="F4" s="501"/>
      <c r="G4" s="500">
        <f>AVERAGEA(K7:K40)</f>
        <v>0</v>
      </c>
      <c r="H4" s="501"/>
      <c r="I4" s="3">
        <f>C4*K2</f>
        <v>345.86625039481038</v>
      </c>
      <c r="J4" s="3">
        <f>I4*E4</f>
        <v>4556.3379527659508</v>
      </c>
      <c r="K4" s="3">
        <f>K2*G4</f>
        <v>0</v>
      </c>
    </row>
    <row r="5" spans="1:19" ht="15" customHeight="1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2"/>
      <c r="B6" s="492"/>
      <c r="C6" s="492"/>
      <c r="D6" s="492"/>
      <c r="E6" s="492"/>
      <c r="F6" s="4" t="s">
        <v>20</v>
      </c>
      <c r="G6" s="5" t="s">
        <v>21</v>
      </c>
      <c r="H6" s="492"/>
      <c r="I6" s="492"/>
      <c r="J6" s="492"/>
      <c r="K6" s="492"/>
      <c r="N6" s="492"/>
      <c r="O6" s="492"/>
      <c r="P6" s="492"/>
      <c r="Q6" s="492"/>
      <c r="R6" s="492"/>
      <c r="S6" s="492"/>
    </row>
    <row r="7" spans="1:19" ht="15.75">
      <c r="A7" s="11">
        <v>46060</v>
      </c>
      <c r="B7" s="12">
        <v>552</v>
      </c>
      <c r="C7" s="12" t="s">
        <v>122</v>
      </c>
      <c r="D7" s="12">
        <v>441</v>
      </c>
      <c r="E7" s="12">
        <v>33</v>
      </c>
      <c r="F7" s="12">
        <v>369</v>
      </c>
      <c r="G7" s="12">
        <v>4813</v>
      </c>
      <c r="H7" s="12">
        <v>0</v>
      </c>
      <c r="I7" s="6">
        <f>F7/(D7+E7)</f>
        <v>0.77848101265822789</v>
      </c>
      <c r="J7" s="6">
        <f>G7/F7</f>
        <v>13.043360433604336</v>
      </c>
      <c r="K7" s="6">
        <f>H7/(D7+E7)</f>
        <v>0</v>
      </c>
      <c r="N7" s="13" t="s">
        <v>49</v>
      </c>
      <c r="O7" s="14">
        <f>K2</f>
        <v>436</v>
      </c>
      <c r="P7" s="15">
        <f>I4</f>
        <v>345.86625039481038</v>
      </c>
      <c r="Q7" s="15">
        <f>J4</f>
        <v>4556.3379527659508</v>
      </c>
      <c r="R7" s="493">
        <f>Q7/P7</f>
        <v>13.173699219177465</v>
      </c>
      <c r="S7" s="493">
        <f>P7/O7</f>
        <v>0.79327121650185872</v>
      </c>
    </row>
    <row r="8" spans="1:19" ht="15.75">
      <c r="A8" s="8">
        <v>46070</v>
      </c>
      <c r="B8" s="7">
        <v>552</v>
      </c>
      <c r="C8" s="7" t="s">
        <v>122</v>
      </c>
      <c r="D8" s="7">
        <v>487</v>
      </c>
      <c r="E8" s="7">
        <v>34</v>
      </c>
      <c r="F8" s="7">
        <v>421</v>
      </c>
      <c r="G8" s="7">
        <v>5601</v>
      </c>
      <c r="H8" s="7">
        <v>0</v>
      </c>
      <c r="I8" s="6">
        <f>F8/(D8+E8)</f>
        <v>0.80806142034548945</v>
      </c>
      <c r="J8" s="6">
        <f>G8/F8</f>
        <v>13.304038004750593</v>
      </c>
      <c r="K8" s="6">
        <f>H8/(D8+E8)</f>
        <v>0</v>
      </c>
      <c r="N8" s="13" t="s">
        <v>50</v>
      </c>
      <c r="O8" s="14">
        <f>O7</f>
        <v>436</v>
      </c>
      <c r="P8" s="16">
        <f>O8*S7</f>
        <v>345.86625039481038</v>
      </c>
      <c r="Q8" s="16">
        <f>P8*R7</f>
        <v>4556.3379527659508</v>
      </c>
      <c r="R8" s="492"/>
      <c r="S8" s="492"/>
    </row>
    <row r="9" spans="1:19">
      <c r="A9" s="8"/>
      <c r="B9" s="7"/>
      <c r="C9" s="7"/>
      <c r="D9" s="7"/>
      <c r="E9" s="7"/>
      <c r="F9" s="7"/>
      <c r="G9" s="7"/>
      <c r="H9" s="7"/>
      <c r="I9" s="6"/>
      <c r="J9" s="6"/>
      <c r="K9" s="6"/>
      <c r="N9" s="494" t="s">
        <v>51</v>
      </c>
      <c r="O9" s="495"/>
      <c r="P9" s="495"/>
      <c r="Q9" s="495"/>
      <c r="R9" s="495"/>
      <c r="S9" s="496"/>
    </row>
    <row r="10" spans="1:19">
      <c r="A10" s="8"/>
      <c r="B10" s="7"/>
      <c r="C10" s="7"/>
      <c r="D10" s="7"/>
      <c r="E10" s="7"/>
      <c r="F10" s="7"/>
      <c r="G10" s="7"/>
      <c r="H10" s="7"/>
      <c r="I10" s="6"/>
      <c r="J10" s="6"/>
      <c r="K10" s="6"/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8"/>
      <c r="B11" s="7"/>
      <c r="C11" s="7"/>
      <c r="D11" s="7"/>
      <c r="E11" s="7"/>
      <c r="F11" s="7"/>
      <c r="G11" s="7"/>
      <c r="H11" s="7"/>
      <c r="I11" s="6"/>
      <c r="J11" s="6"/>
      <c r="K11" s="6"/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8"/>
      <c r="B12" s="7"/>
      <c r="C12" s="7"/>
      <c r="D12" s="7"/>
      <c r="E12" s="7"/>
      <c r="F12" s="7"/>
      <c r="G12" s="7"/>
      <c r="H12" s="7"/>
      <c r="I12" s="6"/>
      <c r="J12" s="6"/>
      <c r="K12" s="6"/>
      <c r="N12" s="17">
        <v>1</v>
      </c>
      <c r="O12" s="18">
        <v>40</v>
      </c>
      <c r="P12" s="19">
        <f>O12*R7</f>
        <v>526.94796876709859</v>
      </c>
      <c r="Q12" s="17">
        <v>3</v>
      </c>
      <c r="R12" s="18">
        <v>35</v>
      </c>
      <c r="S12" s="19">
        <f>R12*R7</f>
        <v>461.07947267121125</v>
      </c>
    </row>
    <row r="13" spans="1:19" ht="15.75">
      <c r="A13" s="8"/>
      <c r="B13" s="7"/>
      <c r="C13" s="7"/>
      <c r="D13" s="7"/>
      <c r="E13" s="7"/>
      <c r="F13" s="7"/>
      <c r="G13" s="7"/>
      <c r="H13" s="7"/>
      <c r="I13" s="6"/>
      <c r="J13" s="6"/>
      <c r="K13" s="6"/>
      <c r="N13" s="17">
        <v>2</v>
      </c>
      <c r="O13" s="18">
        <v>40</v>
      </c>
      <c r="P13" s="19">
        <f>O13*R7</f>
        <v>526.94796876709859</v>
      </c>
      <c r="Q13" s="17">
        <v>4</v>
      </c>
      <c r="R13" s="18">
        <v>18</v>
      </c>
      <c r="S13" s="19">
        <f>R7*R13</f>
        <v>237.12658594519436</v>
      </c>
    </row>
    <row r="14" spans="1:19" ht="15.75">
      <c r="A14" s="8"/>
      <c r="B14" s="7"/>
      <c r="C14" s="7"/>
      <c r="D14" s="7"/>
      <c r="E14" s="7"/>
      <c r="F14" s="7"/>
      <c r="G14" s="7"/>
      <c r="H14" s="7"/>
      <c r="I14" s="6"/>
      <c r="J14" s="6"/>
      <c r="K14" s="6"/>
      <c r="N14" s="17">
        <v>3</v>
      </c>
      <c r="O14" s="18">
        <v>40</v>
      </c>
      <c r="P14" s="19">
        <f>R7*O14</f>
        <v>526.94796876709859</v>
      </c>
      <c r="Q14" s="17">
        <v>5</v>
      </c>
      <c r="R14" s="18">
        <v>0</v>
      </c>
      <c r="S14" s="19">
        <f>R14*R7</f>
        <v>0</v>
      </c>
    </row>
    <row r="15" spans="1:19" ht="15.75">
      <c r="A15" s="102"/>
      <c r="B15" s="2"/>
      <c r="C15" s="2"/>
      <c r="D15" s="2"/>
      <c r="E15" s="2"/>
      <c r="F15" s="2"/>
      <c r="G15" s="2"/>
      <c r="H15" s="2"/>
      <c r="I15" s="32"/>
      <c r="J15" s="32"/>
      <c r="K15" s="6"/>
      <c r="N15" s="17">
        <v>4</v>
      </c>
      <c r="O15" s="18">
        <v>40</v>
      </c>
      <c r="P15" s="19">
        <f>R7*O15</f>
        <v>526.94796876709859</v>
      </c>
      <c r="Q15" s="17">
        <v>1</v>
      </c>
      <c r="R15" s="18">
        <v>0</v>
      </c>
      <c r="S15" s="19">
        <f>R7*R15</f>
        <v>0</v>
      </c>
    </row>
    <row r="16" spans="1:19" ht="15.75">
      <c r="A16" s="103"/>
      <c r="B16" s="104"/>
      <c r="C16" s="104"/>
      <c r="D16" s="104"/>
      <c r="E16" s="104"/>
      <c r="F16" s="104"/>
      <c r="G16" s="104"/>
      <c r="H16" s="104"/>
      <c r="I16" s="25"/>
      <c r="J16" s="25"/>
      <c r="K16" s="6"/>
      <c r="N16" s="17">
        <v>5</v>
      </c>
      <c r="O16" s="18">
        <v>40</v>
      </c>
      <c r="P16" s="19">
        <f>R7*O16</f>
        <v>526.94796876709859</v>
      </c>
      <c r="Q16" s="17"/>
      <c r="R16" s="18">
        <v>0</v>
      </c>
      <c r="S16" s="19">
        <f>R7*R16</f>
        <v>0</v>
      </c>
    </row>
    <row r="17" spans="1:19" ht="15.75">
      <c r="A17" s="24"/>
      <c r="B17" s="104"/>
      <c r="C17" s="104"/>
      <c r="D17" s="104"/>
      <c r="E17" s="104"/>
      <c r="F17" s="104"/>
      <c r="G17" s="104"/>
      <c r="H17" s="23"/>
      <c r="I17" s="105"/>
      <c r="J17" s="25"/>
      <c r="K17" s="23"/>
      <c r="N17" s="17">
        <v>6</v>
      </c>
      <c r="O17" s="18">
        <v>40</v>
      </c>
      <c r="P17" s="19">
        <f>R7*O17</f>
        <v>526.94796876709859</v>
      </c>
      <c r="Q17" s="17"/>
      <c r="R17" s="18">
        <v>0</v>
      </c>
      <c r="S17" s="19">
        <f>R7*R17</f>
        <v>0</v>
      </c>
    </row>
    <row r="18" spans="1:19" ht="15.75">
      <c r="A18" s="101"/>
      <c r="B18" s="106"/>
      <c r="C18" s="106"/>
      <c r="D18" s="106"/>
      <c r="E18" s="106"/>
      <c r="F18" s="106"/>
      <c r="G18" s="106"/>
      <c r="I18" s="107"/>
      <c r="J18" s="107"/>
      <c r="N18" s="17">
        <v>7</v>
      </c>
      <c r="O18" s="18">
        <v>40</v>
      </c>
      <c r="P18" s="19">
        <f>R7*O18</f>
        <v>526.94796876709859</v>
      </c>
      <c r="Q18" s="17"/>
      <c r="R18" s="18">
        <v>0</v>
      </c>
      <c r="S18" s="19">
        <f>R7*R18</f>
        <v>0</v>
      </c>
    </row>
    <row r="19" spans="1:19" ht="15.75">
      <c r="A19" s="101"/>
      <c r="B19" s="106"/>
      <c r="C19" s="106"/>
      <c r="D19" s="106"/>
      <c r="E19" s="106"/>
      <c r="F19" s="106"/>
      <c r="G19" s="106"/>
      <c r="I19" s="107"/>
      <c r="J19" s="107"/>
      <c r="N19" s="17">
        <v>8</v>
      </c>
      <c r="O19" s="18">
        <v>40</v>
      </c>
      <c r="P19" s="19">
        <f>R7*O19</f>
        <v>526.94796876709859</v>
      </c>
      <c r="Q19" s="17"/>
      <c r="R19" s="18">
        <v>0</v>
      </c>
      <c r="S19" s="19">
        <f>R7*R19</f>
        <v>0</v>
      </c>
    </row>
    <row r="20" spans="1:19" ht="15.75">
      <c r="N20" s="17">
        <v>9</v>
      </c>
      <c r="O20" s="18">
        <v>0</v>
      </c>
      <c r="P20" s="19">
        <f>R7*O20</f>
        <v>0</v>
      </c>
      <c r="Q20" s="17"/>
      <c r="R20" s="18">
        <v>0</v>
      </c>
      <c r="S20" s="19">
        <f>R7*R20</f>
        <v>0</v>
      </c>
    </row>
    <row r="21" spans="1:19" ht="15.75" customHeight="1">
      <c r="N21" s="20" t="s">
        <v>53</v>
      </c>
      <c r="O21" s="18">
        <v>0</v>
      </c>
      <c r="P21" s="19">
        <f>R7*O21</f>
        <v>0</v>
      </c>
      <c r="Q21" s="17"/>
      <c r="R21" s="18"/>
      <c r="S21" s="19">
        <f>R7*R21</f>
        <v>0</v>
      </c>
    </row>
    <row r="22" spans="1:19" ht="15.75" customHeight="1">
      <c r="N22" s="13" t="s">
        <v>59</v>
      </c>
      <c r="O22" s="21">
        <f>P8-O12-O13-O14-O15-O16-O17-O18-O19-O20-O21</f>
        <v>25.866250394810379</v>
      </c>
      <c r="P22" s="21">
        <f>Q8-P12-P13-P14-P15-P16-P17-P18-P19-P20-P21</f>
        <v>340.75420262916145</v>
      </c>
      <c r="Q22" s="13" t="s">
        <v>59</v>
      </c>
      <c r="R22" s="21">
        <f>P8-R12-R13-R14-R15-R16-R17-R18-R19-R20-R21</f>
        <v>292.86625039481038</v>
      </c>
      <c r="S22" s="21">
        <f>Q8-S12-S13-S14-S15-S16-S17-S18-S19-S20-S21</f>
        <v>3858.1318941495456</v>
      </c>
    </row>
    <row r="23" spans="1:19" ht="15.75" customHeight="1">
      <c r="N23" s="13" t="s">
        <v>60</v>
      </c>
      <c r="O23" s="16">
        <f>O12+O13+O14+O15+O16+O17+O18+O19+O20+O21</f>
        <v>320</v>
      </c>
      <c r="P23" s="16">
        <f>P12+P13+P14+P15+P16+P17+P18+P19+P20+P21</f>
        <v>4215.5837501367887</v>
      </c>
      <c r="Q23" s="13" t="s">
        <v>60</v>
      </c>
      <c r="R23" s="16">
        <f>R12+R13+R14+R15+R16+R17+R18+R19+R20+R21</f>
        <v>53</v>
      </c>
      <c r="S23" s="16">
        <f>S12+S13+S14+S15+S16+S17+S18+S19+S20+S21</f>
        <v>698.20605861640558</v>
      </c>
    </row>
    <row r="24" spans="1:19" ht="15.75" customHeight="1"/>
    <row r="25" spans="1:19" ht="15.75" customHeight="1"/>
    <row r="26" spans="1:19" ht="15.75" customHeight="1"/>
    <row r="27" spans="1:19" ht="15.75" customHeight="1"/>
    <row r="28" spans="1:19" ht="15.75" customHeight="1"/>
    <row r="29" spans="1:19" ht="15.75" customHeight="1"/>
    <row r="30" spans="1:19" ht="15.75" customHeight="1"/>
    <row r="31" spans="1:19" ht="15.75" customHeight="1"/>
    <row r="32" spans="1:1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7"/>
      <c r="O55" s="7"/>
      <c r="P55" s="7"/>
      <c r="Q55" s="7"/>
      <c r="R55" s="7"/>
      <c r="S55" s="7"/>
    </row>
    <row r="56" spans="14:19" ht="15.75" customHeight="1">
      <c r="N56" s="22"/>
      <c r="O56" s="22"/>
      <c r="P56" s="22"/>
      <c r="Q56" s="22"/>
      <c r="R56" s="22"/>
      <c r="S56" s="2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O5:O6"/>
    <mergeCell ref="N10:P10"/>
    <mergeCell ref="Q10:S10"/>
    <mergeCell ref="Q5:Q6"/>
    <mergeCell ref="R5:R6"/>
    <mergeCell ref="S5:S6"/>
    <mergeCell ref="R7:R8"/>
    <mergeCell ref="S7:S8"/>
    <mergeCell ref="N9:S9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>
  <dimension ref="A1:K27"/>
  <sheetViews>
    <sheetView workbookViewId="0">
      <selection activeCell="A8" sqref="A8:K9"/>
    </sheetView>
  </sheetViews>
  <sheetFormatPr defaultRowHeight="15"/>
  <cols>
    <col min="1" max="1" width="10.140625" bestFit="1" customWidth="1"/>
  </cols>
  <sheetData>
    <row r="1" spans="1:11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1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200</v>
      </c>
    </row>
    <row r="3" spans="1:11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1">
      <c r="A4" s="73" t="s">
        <v>134</v>
      </c>
      <c r="B4" s="73" t="s">
        <v>12</v>
      </c>
      <c r="C4" s="510">
        <f>AVERAGEA(I7:I44)</f>
        <v>0.85904255319148937</v>
      </c>
      <c r="D4" s="511"/>
      <c r="E4" s="510">
        <f>AVERAGEA(J7:J44)</f>
        <v>13.284829721362229</v>
      </c>
      <c r="F4" s="511"/>
      <c r="G4" s="510">
        <f>AVERAGEA(K7:K44)</f>
        <v>3</v>
      </c>
      <c r="H4" s="511"/>
      <c r="I4" s="74">
        <f>C4*K2</f>
        <v>171.80851063829786</v>
      </c>
      <c r="J4" s="74">
        <f>I4*E4</f>
        <v>2282.4468085106382</v>
      </c>
      <c r="K4" s="74">
        <f>K2*G4</f>
        <v>600</v>
      </c>
    </row>
    <row r="5" spans="1:1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</row>
    <row r="6" spans="1:11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</row>
    <row r="7" spans="1:11">
      <c r="A7" s="77">
        <v>46088</v>
      </c>
      <c r="B7" s="78">
        <v>3810</v>
      </c>
      <c r="C7" s="78" t="s">
        <v>128</v>
      </c>
      <c r="D7" s="78">
        <v>352</v>
      </c>
      <c r="E7" s="78">
        <v>24</v>
      </c>
      <c r="F7" s="78">
        <v>323</v>
      </c>
      <c r="G7" s="78">
        <v>4291</v>
      </c>
      <c r="H7" s="78">
        <v>1128</v>
      </c>
      <c r="I7" s="79">
        <f>F7/(D7+E7)</f>
        <v>0.85904255319148937</v>
      </c>
      <c r="J7" s="79">
        <f>G7/F7</f>
        <v>13.284829721362229</v>
      </c>
      <c r="K7" s="79">
        <f>H7/(D7+E7)</f>
        <v>3</v>
      </c>
    </row>
    <row r="8" spans="1:11">
      <c r="A8" s="80"/>
      <c r="B8" s="256"/>
      <c r="C8" s="318"/>
      <c r="D8" s="81"/>
      <c r="E8" s="81"/>
      <c r="F8" s="81"/>
      <c r="G8" s="81"/>
      <c r="H8" s="81"/>
      <c r="I8" s="79"/>
      <c r="J8" s="79"/>
      <c r="K8" s="79"/>
    </row>
    <row r="9" spans="1:11">
      <c r="A9" s="80"/>
      <c r="B9" s="258"/>
      <c r="C9" s="323"/>
      <c r="D9" s="81"/>
      <c r="E9" s="81"/>
      <c r="F9" s="81"/>
      <c r="G9" s="81"/>
      <c r="H9" s="81"/>
      <c r="I9" s="79"/>
      <c r="J9" s="79"/>
      <c r="K9" s="79"/>
    </row>
    <row r="10" spans="1:11">
      <c r="A10" s="80"/>
      <c r="B10" s="259"/>
      <c r="C10" s="259"/>
      <c r="D10" s="81"/>
      <c r="E10" s="81"/>
      <c r="F10" s="81"/>
      <c r="G10" s="81"/>
      <c r="H10" s="81"/>
      <c r="I10" s="79"/>
      <c r="J10" s="79"/>
      <c r="K10" s="79"/>
    </row>
    <row r="11" spans="1:11">
      <c r="A11" s="80"/>
      <c r="B11" s="261"/>
      <c r="C11" s="261"/>
      <c r="D11" s="81"/>
      <c r="E11" s="81"/>
      <c r="F11" s="81"/>
      <c r="G11" s="81"/>
      <c r="H11" s="81"/>
      <c r="I11" s="79"/>
      <c r="J11" s="79"/>
      <c r="K11" s="79"/>
    </row>
    <row r="12" spans="1:11">
      <c r="A12" s="80"/>
      <c r="B12" s="264"/>
      <c r="C12" s="264"/>
      <c r="D12" s="81"/>
      <c r="E12" s="81"/>
      <c r="F12" s="81"/>
      <c r="G12" s="81"/>
      <c r="H12" s="81"/>
      <c r="I12" s="79"/>
      <c r="J12" s="79"/>
      <c r="K12" s="79"/>
    </row>
    <row r="13" spans="1:11">
      <c r="A13" s="80"/>
      <c r="B13" s="266"/>
      <c r="C13" s="266"/>
      <c r="D13" s="81"/>
      <c r="E13" s="81"/>
      <c r="F13" s="81"/>
      <c r="G13" s="81"/>
      <c r="H13" s="81"/>
      <c r="I13" s="79"/>
      <c r="J13" s="79"/>
      <c r="K13" s="79"/>
    </row>
    <row r="14" spans="1:11">
      <c r="A14" s="80"/>
      <c r="B14" s="269"/>
      <c r="C14" s="269"/>
      <c r="D14" s="81"/>
      <c r="E14" s="81"/>
      <c r="F14" s="81"/>
      <c r="G14" s="81"/>
      <c r="H14" s="81"/>
      <c r="I14" s="79"/>
      <c r="J14" s="79"/>
      <c r="K14" s="79"/>
    </row>
    <row r="15" spans="1:11">
      <c r="A15" s="80"/>
      <c r="B15" s="241"/>
      <c r="C15" s="241"/>
      <c r="D15" s="81"/>
      <c r="E15" s="81"/>
      <c r="F15" s="81"/>
      <c r="G15" s="81"/>
      <c r="H15" s="81"/>
      <c r="I15" s="79"/>
      <c r="J15" s="79"/>
      <c r="K15" s="79"/>
    </row>
    <row r="16" spans="1:11">
      <c r="A16" s="80"/>
      <c r="B16" s="153"/>
      <c r="C16" s="170"/>
      <c r="D16" s="81"/>
      <c r="E16" s="81"/>
      <c r="F16" s="81"/>
      <c r="G16" s="81"/>
      <c r="H16" s="81"/>
      <c r="I16" s="79"/>
      <c r="J16" s="79"/>
      <c r="K16" s="79"/>
    </row>
    <row r="17" spans="1:11">
      <c r="A17" s="80"/>
      <c r="B17" s="81"/>
      <c r="C17" s="155"/>
      <c r="D17" s="81"/>
      <c r="E17" s="81"/>
      <c r="F17" s="81"/>
      <c r="G17" s="81"/>
      <c r="H17" s="81"/>
      <c r="I17" s="79"/>
      <c r="J17" s="79"/>
      <c r="K17" s="79"/>
    </row>
    <row r="18" spans="1:11">
      <c r="A18" s="80"/>
      <c r="B18" s="138"/>
      <c r="C18" s="155"/>
      <c r="D18" s="81"/>
      <c r="E18" s="81"/>
      <c r="F18" s="81"/>
      <c r="G18" s="81"/>
      <c r="H18" s="81"/>
      <c r="I18" s="79"/>
      <c r="J18" s="79"/>
      <c r="K18" s="79"/>
    </row>
    <row r="19" spans="1:11">
      <c r="A19" s="80"/>
      <c r="B19" s="81"/>
      <c r="C19" s="155"/>
      <c r="D19" s="81"/>
      <c r="E19" s="81"/>
      <c r="F19" s="81"/>
      <c r="G19" s="81"/>
      <c r="H19" s="81"/>
      <c r="I19" s="79"/>
      <c r="J19" s="79"/>
      <c r="K19" s="79"/>
    </row>
    <row r="20" spans="1:11">
      <c r="A20" s="80"/>
      <c r="B20" s="81"/>
      <c r="C20" s="157"/>
      <c r="D20" s="81"/>
      <c r="E20" s="81"/>
      <c r="F20" s="81"/>
      <c r="G20" s="81"/>
      <c r="H20" s="81"/>
      <c r="I20" s="79"/>
      <c r="J20" s="79"/>
      <c r="K20" s="79"/>
    </row>
    <row r="21" spans="1:11">
      <c r="A21" s="80"/>
      <c r="B21" s="157"/>
      <c r="C21" s="157"/>
      <c r="D21" s="81"/>
      <c r="E21" s="81"/>
      <c r="F21" s="81"/>
      <c r="G21" s="81"/>
      <c r="H21" s="81"/>
      <c r="I21" s="79"/>
      <c r="J21" s="79"/>
      <c r="K21" s="79"/>
    </row>
    <row r="22" spans="1:11">
      <c r="A22" s="80"/>
      <c r="B22" s="145"/>
      <c r="C22" s="158"/>
      <c r="D22" s="81"/>
      <c r="E22" s="81"/>
      <c r="F22" s="81"/>
      <c r="G22" s="81"/>
      <c r="H22" s="81"/>
      <c r="I22" s="79"/>
      <c r="J22" s="79"/>
      <c r="K22" s="79"/>
    </row>
    <row r="23" spans="1:11">
      <c r="A23" s="80"/>
      <c r="B23" s="130"/>
      <c r="C23" s="146"/>
      <c r="D23" s="81"/>
      <c r="E23" s="81"/>
      <c r="F23" s="81"/>
      <c r="G23" s="81"/>
      <c r="H23" s="81"/>
      <c r="I23" s="79"/>
      <c r="J23" s="79"/>
      <c r="K23" s="79"/>
    </row>
    <row r="24" spans="1:11">
      <c r="A24" s="80"/>
      <c r="B24" s="81"/>
      <c r="C24" s="148"/>
      <c r="D24" s="81"/>
      <c r="E24" s="81"/>
      <c r="F24" s="81"/>
      <c r="G24" s="81"/>
      <c r="H24" s="81"/>
      <c r="I24" s="79"/>
      <c r="J24" s="79"/>
      <c r="K24" s="79"/>
    </row>
    <row r="25" spans="1:1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</row>
    <row r="26" spans="1:1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</row>
    <row r="27" spans="1:1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</row>
  </sheetData>
  <sheetProtection password="CC6F" sheet="1" objects="1" scenarios="1"/>
  <mergeCells count="23">
    <mergeCell ref="I5:I6"/>
    <mergeCell ref="J5:J6"/>
    <mergeCell ref="K5:K6"/>
    <mergeCell ref="C4:D4"/>
    <mergeCell ref="E4:F4"/>
    <mergeCell ref="G4:H4"/>
    <mergeCell ref="F5:G5"/>
    <mergeCell ref="H5:H6"/>
    <mergeCell ref="A5:A6"/>
    <mergeCell ref="B5:B6"/>
    <mergeCell ref="C5:C6"/>
    <mergeCell ref="D5:D6"/>
    <mergeCell ref="E5:E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K27"/>
  <sheetViews>
    <sheetView workbookViewId="0">
      <selection activeCell="G10" sqref="G10"/>
    </sheetView>
  </sheetViews>
  <sheetFormatPr defaultRowHeight="15"/>
  <cols>
    <col min="1" max="1" width="10.140625" bestFit="1" customWidth="1"/>
  </cols>
  <sheetData>
    <row r="1" spans="1:11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1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200</v>
      </c>
    </row>
    <row r="3" spans="1:11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1">
      <c r="A4" s="73" t="s">
        <v>134</v>
      </c>
      <c r="B4" s="73" t="s">
        <v>70</v>
      </c>
      <c r="C4" s="510">
        <f>AVERAGEA(I7:I44)</f>
        <v>0.84236059806508345</v>
      </c>
      <c r="D4" s="511"/>
      <c r="E4" s="510">
        <f>AVERAGEA(J7:J44)</f>
        <v>14.309260583666092</v>
      </c>
      <c r="F4" s="511"/>
      <c r="G4" s="510">
        <f>AVERAGEA(K7:K44)</f>
        <v>3</v>
      </c>
      <c r="H4" s="511"/>
      <c r="I4" s="74">
        <f>C4*K2</f>
        <v>168.4721196130167</v>
      </c>
      <c r="J4" s="74">
        <f>I4*E4</f>
        <v>2410.7114606252189</v>
      </c>
      <c r="K4" s="74">
        <f>K2*G4</f>
        <v>600</v>
      </c>
    </row>
    <row r="5" spans="1:1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</row>
    <row r="6" spans="1:11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</row>
    <row r="7" spans="1:11">
      <c r="A7" s="77">
        <v>46087</v>
      </c>
      <c r="B7" s="78">
        <v>3818</v>
      </c>
      <c r="C7" s="78" t="s">
        <v>128</v>
      </c>
      <c r="D7" s="78">
        <v>360</v>
      </c>
      <c r="E7" s="78">
        <v>19</v>
      </c>
      <c r="F7" s="78">
        <v>306</v>
      </c>
      <c r="G7" s="78">
        <v>4397</v>
      </c>
      <c r="H7" s="78">
        <v>1137</v>
      </c>
      <c r="I7" s="79">
        <f>F7/(D7+E7)</f>
        <v>0.80738786279683372</v>
      </c>
      <c r="J7" s="79">
        <f>G7/F7</f>
        <v>14.369281045751634</v>
      </c>
      <c r="K7" s="79">
        <f>H7/(D7+E7)</f>
        <v>3</v>
      </c>
    </row>
    <row r="8" spans="1:11">
      <c r="A8" s="80">
        <v>46098</v>
      </c>
      <c r="B8" s="256">
        <v>3818</v>
      </c>
      <c r="C8" s="328" t="s">
        <v>128</v>
      </c>
      <c r="D8" s="81">
        <v>368</v>
      </c>
      <c r="E8" s="81">
        <v>7</v>
      </c>
      <c r="F8" s="81">
        <v>329</v>
      </c>
      <c r="G8" s="81">
        <v>4688</v>
      </c>
      <c r="H8" s="81">
        <v>1125</v>
      </c>
      <c r="I8" s="79">
        <f>F8/(D8+E8)</f>
        <v>0.8773333333333333</v>
      </c>
      <c r="J8" s="79">
        <f>G8/F8</f>
        <v>14.249240121580547</v>
      </c>
      <c r="K8" s="79">
        <f>H8/(D8+E8)</f>
        <v>3</v>
      </c>
    </row>
    <row r="9" spans="1:11">
      <c r="A9" s="80"/>
      <c r="B9" s="258"/>
      <c r="C9" s="323"/>
      <c r="D9" s="81"/>
      <c r="E9" s="81"/>
      <c r="F9" s="81"/>
      <c r="G9" s="81"/>
      <c r="H9" s="81"/>
      <c r="I9" s="79"/>
      <c r="J9" s="79"/>
      <c r="K9" s="79"/>
    </row>
    <row r="10" spans="1:11">
      <c r="A10" s="80"/>
      <c r="B10" s="259"/>
      <c r="C10" s="259"/>
      <c r="D10" s="81"/>
      <c r="E10" s="81"/>
      <c r="F10" s="81"/>
      <c r="G10" s="81"/>
      <c r="H10" s="81"/>
      <c r="I10" s="79"/>
      <c r="J10" s="79"/>
      <c r="K10" s="79"/>
    </row>
    <row r="11" spans="1:11">
      <c r="A11" s="80"/>
      <c r="B11" s="261"/>
      <c r="C11" s="261"/>
      <c r="D11" s="81"/>
      <c r="E11" s="81"/>
      <c r="F11" s="81"/>
      <c r="G11" s="81"/>
      <c r="H11" s="81"/>
      <c r="I11" s="79"/>
      <c r="J11" s="79"/>
      <c r="K11" s="79"/>
    </row>
    <row r="12" spans="1:11">
      <c r="A12" s="80"/>
      <c r="B12" s="264"/>
      <c r="C12" s="264"/>
      <c r="D12" s="81"/>
      <c r="E12" s="81"/>
      <c r="F12" s="81"/>
      <c r="G12" s="81"/>
      <c r="H12" s="81"/>
      <c r="I12" s="79"/>
      <c r="J12" s="79"/>
      <c r="K12" s="79"/>
    </row>
    <row r="13" spans="1:11">
      <c r="A13" s="80"/>
      <c r="B13" s="266"/>
      <c r="C13" s="266"/>
      <c r="D13" s="81"/>
      <c r="E13" s="81"/>
      <c r="F13" s="81"/>
      <c r="G13" s="81"/>
      <c r="H13" s="81"/>
      <c r="I13" s="79"/>
      <c r="J13" s="79"/>
      <c r="K13" s="79"/>
    </row>
    <row r="14" spans="1:11">
      <c r="A14" s="80"/>
      <c r="B14" s="269"/>
      <c r="C14" s="269"/>
      <c r="D14" s="81"/>
      <c r="E14" s="81"/>
      <c r="F14" s="81"/>
      <c r="G14" s="81"/>
      <c r="H14" s="81"/>
      <c r="I14" s="79"/>
      <c r="J14" s="79"/>
      <c r="K14" s="79"/>
    </row>
    <row r="15" spans="1:11">
      <c r="A15" s="80"/>
      <c r="B15" s="241"/>
      <c r="C15" s="241"/>
      <c r="D15" s="81"/>
      <c r="E15" s="81"/>
      <c r="F15" s="81"/>
      <c r="G15" s="81"/>
      <c r="H15" s="81"/>
      <c r="I15" s="79"/>
      <c r="J15" s="79"/>
      <c r="K15" s="79"/>
    </row>
    <row r="16" spans="1:11">
      <c r="A16" s="80"/>
      <c r="B16" s="153"/>
      <c r="C16" s="170"/>
      <c r="D16" s="81"/>
      <c r="E16" s="81"/>
      <c r="F16" s="81"/>
      <c r="G16" s="81"/>
      <c r="H16" s="81"/>
      <c r="I16" s="79"/>
      <c r="J16" s="79"/>
      <c r="K16" s="79"/>
    </row>
    <row r="17" spans="1:11">
      <c r="A17" s="80"/>
      <c r="B17" s="81"/>
      <c r="C17" s="155"/>
      <c r="D17" s="81"/>
      <c r="E17" s="81"/>
      <c r="F17" s="81"/>
      <c r="G17" s="81"/>
      <c r="H17" s="81"/>
      <c r="I17" s="79"/>
      <c r="J17" s="79"/>
      <c r="K17" s="79"/>
    </row>
    <row r="18" spans="1:11">
      <c r="A18" s="80"/>
      <c r="B18" s="138"/>
      <c r="C18" s="155"/>
      <c r="D18" s="81"/>
      <c r="E18" s="81"/>
      <c r="F18" s="81"/>
      <c r="G18" s="81"/>
      <c r="H18" s="81"/>
      <c r="I18" s="79"/>
      <c r="J18" s="79"/>
      <c r="K18" s="79"/>
    </row>
    <row r="19" spans="1:11">
      <c r="A19" s="80"/>
      <c r="B19" s="81"/>
      <c r="C19" s="155"/>
      <c r="D19" s="81"/>
      <c r="E19" s="81"/>
      <c r="F19" s="81"/>
      <c r="G19" s="81"/>
      <c r="H19" s="81"/>
      <c r="I19" s="79"/>
      <c r="J19" s="79"/>
      <c r="K19" s="79"/>
    </row>
    <row r="20" spans="1:11">
      <c r="A20" s="80"/>
      <c r="B20" s="81"/>
      <c r="C20" s="157"/>
      <c r="D20" s="81"/>
      <c r="E20" s="81"/>
      <c r="F20" s="81"/>
      <c r="G20" s="81"/>
      <c r="H20" s="81"/>
      <c r="I20" s="79"/>
      <c r="J20" s="79"/>
      <c r="K20" s="79"/>
    </row>
    <row r="21" spans="1:11">
      <c r="A21" s="80"/>
      <c r="B21" s="157"/>
      <c r="C21" s="157"/>
      <c r="D21" s="81"/>
      <c r="E21" s="81"/>
      <c r="F21" s="81"/>
      <c r="G21" s="81"/>
      <c r="H21" s="81"/>
      <c r="I21" s="79"/>
      <c r="J21" s="79"/>
      <c r="K21" s="79"/>
    </row>
    <row r="22" spans="1:11">
      <c r="A22" s="80"/>
      <c r="B22" s="145"/>
      <c r="C22" s="158"/>
      <c r="D22" s="81"/>
      <c r="E22" s="81"/>
      <c r="F22" s="81"/>
      <c r="G22" s="81"/>
      <c r="H22" s="81"/>
      <c r="I22" s="79"/>
      <c r="J22" s="79"/>
      <c r="K22" s="79"/>
    </row>
    <row r="23" spans="1:11">
      <c r="A23" s="80"/>
      <c r="B23" s="130"/>
      <c r="C23" s="146"/>
      <c r="D23" s="81"/>
      <c r="E23" s="81"/>
      <c r="F23" s="81"/>
      <c r="G23" s="81"/>
      <c r="H23" s="81"/>
      <c r="I23" s="79"/>
      <c r="J23" s="79"/>
      <c r="K23" s="79"/>
    </row>
    <row r="24" spans="1:11">
      <c r="A24" s="80"/>
      <c r="B24" s="81"/>
      <c r="C24" s="148"/>
      <c r="D24" s="81"/>
      <c r="E24" s="81"/>
      <c r="F24" s="81"/>
      <c r="G24" s="81"/>
      <c r="H24" s="81"/>
      <c r="I24" s="79"/>
      <c r="J24" s="79"/>
      <c r="K24" s="79"/>
    </row>
    <row r="25" spans="1:1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</row>
    <row r="26" spans="1:1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</row>
    <row r="27" spans="1:1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</row>
  </sheetData>
  <mergeCells count="23">
    <mergeCell ref="I5:I6"/>
    <mergeCell ref="J5:J6"/>
    <mergeCell ref="K5:K6"/>
    <mergeCell ref="C4:D4"/>
    <mergeCell ref="E4:F4"/>
    <mergeCell ref="G4:H4"/>
    <mergeCell ref="F5:G5"/>
    <mergeCell ref="H5:H6"/>
    <mergeCell ref="A5:A6"/>
    <mergeCell ref="B5:B6"/>
    <mergeCell ref="C5:C6"/>
    <mergeCell ref="D5:D6"/>
    <mergeCell ref="E5:E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sheetPr codeName="Лист21"/>
  <dimension ref="A1:S999"/>
  <sheetViews>
    <sheetView workbookViewId="0">
      <selection activeCell="K10" sqref="K10:K11"/>
    </sheetView>
  </sheetViews>
  <sheetFormatPr defaultColWidth="14.42578125" defaultRowHeight="15" customHeight="1"/>
  <cols>
    <col min="1" max="1" width="10.140625" customWidth="1"/>
    <col min="2" max="8" width="8.7109375" customWidth="1"/>
    <col min="9" max="9" width="14" customWidth="1"/>
    <col min="10" max="10" width="10.140625" customWidth="1"/>
    <col min="11" max="11" width="12.85546875" customWidth="1"/>
    <col min="12" max="13" width="8.7109375" customWidth="1"/>
    <col min="14" max="14" width="12" customWidth="1"/>
    <col min="15" max="15" width="11.5703125" customWidth="1"/>
    <col min="16" max="16" width="13.5703125" customWidth="1"/>
    <col min="17" max="17" width="12" customWidth="1"/>
    <col min="18" max="18" width="10.42578125" customWidth="1"/>
    <col min="19" max="19" width="12.7109375" customWidth="1"/>
    <col min="20" max="26" width="8.7109375" customWidth="1"/>
  </cols>
  <sheetData>
    <row r="1" spans="1:19">
      <c r="A1" s="505" t="s">
        <v>0</v>
      </c>
      <c r="B1" s="528"/>
      <c r="C1" s="528"/>
      <c r="D1" s="528"/>
      <c r="E1" s="528"/>
      <c r="F1" s="529"/>
      <c r="G1" s="506"/>
      <c r="H1" s="530"/>
      <c r="I1" s="507" t="s">
        <v>85</v>
      </c>
      <c r="J1" s="531"/>
      <c r="K1" s="532"/>
    </row>
    <row r="2" spans="1:19">
      <c r="A2" s="497" t="s">
        <v>1</v>
      </c>
      <c r="B2" s="497" t="s">
        <v>2</v>
      </c>
      <c r="C2" s="494" t="s">
        <v>3</v>
      </c>
      <c r="D2" s="534"/>
      <c r="E2" s="534"/>
      <c r="F2" s="534"/>
      <c r="G2" s="534"/>
      <c r="H2" s="535"/>
      <c r="I2" s="507" t="s">
        <v>4</v>
      </c>
      <c r="J2" s="532"/>
      <c r="K2" s="12">
        <v>335</v>
      </c>
    </row>
    <row r="3" spans="1:19">
      <c r="A3" s="533"/>
      <c r="B3" s="533"/>
      <c r="C3" s="494" t="s">
        <v>5</v>
      </c>
      <c r="D3" s="535"/>
      <c r="E3" s="494" t="s">
        <v>6</v>
      </c>
      <c r="F3" s="535"/>
      <c r="G3" s="494" t="s">
        <v>7</v>
      </c>
      <c r="H3" s="535"/>
      <c r="I3" s="1" t="s">
        <v>8</v>
      </c>
      <c r="J3" s="1" t="s">
        <v>9</v>
      </c>
      <c r="K3" s="1" t="s">
        <v>10</v>
      </c>
    </row>
    <row r="4" spans="1:19">
      <c r="A4" s="2" t="s">
        <v>42</v>
      </c>
      <c r="B4" s="2" t="s">
        <v>12</v>
      </c>
      <c r="C4" s="523">
        <f>AVERAGEA(I7:I40)</f>
        <v>0.84075607348470671</v>
      </c>
      <c r="D4" s="524"/>
      <c r="E4" s="523">
        <f>AVERAGEA(J7:J40)</f>
        <v>12.365900791790013</v>
      </c>
      <c r="F4" s="524"/>
      <c r="G4" s="523">
        <f>AVERAGEA(K7:K40)</f>
        <v>0</v>
      </c>
      <c r="H4" s="524"/>
      <c r="I4" s="3">
        <f>C4*K2</f>
        <v>281.65328461737676</v>
      </c>
      <c r="J4" s="3">
        <f>I4*E4</f>
        <v>3482.8965752602771</v>
      </c>
      <c r="K4" s="3">
        <f>K2*G4</f>
        <v>0</v>
      </c>
    </row>
    <row r="5" spans="1:19" ht="15" customHeight="1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52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525"/>
      <c r="B6" s="525"/>
      <c r="C6" s="525"/>
      <c r="D6" s="525"/>
      <c r="E6" s="525"/>
      <c r="F6" s="26" t="s">
        <v>20</v>
      </c>
      <c r="G6" s="27" t="s">
        <v>21</v>
      </c>
      <c r="H6" s="527"/>
      <c r="I6" s="522"/>
      <c r="J6" s="522"/>
      <c r="K6" s="522"/>
      <c r="N6" s="492"/>
      <c r="O6" s="492"/>
      <c r="P6" s="492"/>
      <c r="Q6" s="492"/>
      <c r="R6" s="492"/>
      <c r="S6" s="492"/>
    </row>
    <row r="7" spans="1:19" ht="15.75">
      <c r="A7" s="28">
        <v>46055</v>
      </c>
      <c r="B7" s="29">
        <v>556</v>
      </c>
      <c r="C7" s="29" t="s">
        <v>122</v>
      </c>
      <c r="D7" s="29">
        <v>467</v>
      </c>
      <c r="E7" s="29">
        <v>15</v>
      </c>
      <c r="F7" s="29">
        <v>391</v>
      </c>
      <c r="G7" s="29">
        <v>4906</v>
      </c>
      <c r="H7" s="29">
        <v>0</v>
      </c>
      <c r="I7" s="25">
        <f>F7/(D7+E7)</f>
        <v>0.81120331950207469</v>
      </c>
      <c r="J7" s="25">
        <f>G7/F7</f>
        <v>12.547314578005116</v>
      </c>
      <c r="K7" s="25">
        <v>0</v>
      </c>
      <c r="N7" s="13" t="s">
        <v>49</v>
      </c>
      <c r="O7" s="14">
        <f>K2</f>
        <v>335</v>
      </c>
      <c r="P7" s="15">
        <f>I4</f>
        <v>281.65328461737676</v>
      </c>
      <c r="Q7" s="15">
        <f>J4</f>
        <v>3482.8965752602771</v>
      </c>
      <c r="R7" s="493">
        <f>Q7/P7</f>
        <v>12.365900791790013</v>
      </c>
      <c r="S7" s="493">
        <f>P7/O7</f>
        <v>0.84075607348470671</v>
      </c>
    </row>
    <row r="8" spans="1:19" ht="15.75">
      <c r="A8" s="24">
        <v>46057</v>
      </c>
      <c r="B8" s="23">
        <v>556</v>
      </c>
      <c r="C8" s="23" t="s">
        <v>122</v>
      </c>
      <c r="D8" s="23">
        <v>454</v>
      </c>
      <c r="E8" s="23">
        <v>18</v>
      </c>
      <c r="F8" s="23">
        <v>373</v>
      </c>
      <c r="G8" s="23">
        <v>4808</v>
      </c>
      <c r="H8" s="23">
        <v>0</v>
      </c>
      <c r="I8" s="25">
        <f>F8/(D8+E8)</f>
        <v>0.7902542372881356</v>
      </c>
      <c r="J8" s="25">
        <f>G8/F8</f>
        <v>12.890080428954423</v>
      </c>
      <c r="K8" s="25">
        <v>0</v>
      </c>
      <c r="N8" s="13" t="s">
        <v>50</v>
      </c>
      <c r="O8" s="14">
        <f>O7</f>
        <v>335</v>
      </c>
      <c r="P8" s="16">
        <f>O8*S7</f>
        <v>281.65328461737676</v>
      </c>
      <c r="Q8" s="16">
        <f>P8*R7</f>
        <v>3482.8965752602771</v>
      </c>
      <c r="R8" s="492"/>
      <c r="S8" s="492"/>
    </row>
    <row r="9" spans="1:19">
      <c r="A9" s="24">
        <v>46061</v>
      </c>
      <c r="B9" s="23">
        <v>556</v>
      </c>
      <c r="C9" s="316" t="s">
        <v>122</v>
      </c>
      <c r="D9" s="23">
        <v>460</v>
      </c>
      <c r="E9" s="23">
        <v>26</v>
      </c>
      <c r="F9" s="23">
        <v>386</v>
      </c>
      <c r="G9" s="23">
        <v>4658</v>
      </c>
      <c r="H9" s="23">
        <v>0</v>
      </c>
      <c r="I9" s="25">
        <f>F9/(D9+E9)</f>
        <v>0.79423868312757206</v>
      </c>
      <c r="J9" s="25">
        <f>G9/F9</f>
        <v>12.067357512953368</v>
      </c>
      <c r="K9" s="25">
        <v>0</v>
      </c>
      <c r="N9" s="494" t="s">
        <v>51</v>
      </c>
      <c r="O9" s="495"/>
      <c r="P9" s="495"/>
      <c r="Q9" s="495"/>
      <c r="R9" s="495"/>
      <c r="S9" s="496"/>
    </row>
    <row r="10" spans="1:19">
      <c r="A10" s="24">
        <v>46066</v>
      </c>
      <c r="B10" s="23">
        <v>556</v>
      </c>
      <c r="C10" s="23" t="s">
        <v>122</v>
      </c>
      <c r="D10" s="23">
        <v>432</v>
      </c>
      <c r="E10" s="23">
        <v>27</v>
      </c>
      <c r="F10" s="23">
        <v>441</v>
      </c>
      <c r="G10" s="23">
        <v>5379</v>
      </c>
      <c r="H10" s="23">
        <v>0</v>
      </c>
      <c r="I10" s="25">
        <f>F10/(D10+E10)</f>
        <v>0.96078431372549022</v>
      </c>
      <c r="J10" s="25">
        <f>G10/F10</f>
        <v>12.197278911564625</v>
      </c>
      <c r="K10" s="25">
        <v>0</v>
      </c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24">
        <v>46067</v>
      </c>
      <c r="B11" s="23">
        <v>556</v>
      </c>
      <c r="C11" s="23" t="s">
        <v>122</v>
      </c>
      <c r="D11" s="23">
        <v>508</v>
      </c>
      <c r="E11" s="23">
        <v>29</v>
      </c>
      <c r="F11" s="23">
        <v>455</v>
      </c>
      <c r="G11" s="23">
        <v>5518</v>
      </c>
      <c r="H11" s="23">
        <v>0</v>
      </c>
      <c r="I11" s="25">
        <f>F11/(D11+E11)</f>
        <v>0.84729981378026076</v>
      </c>
      <c r="J11" s="25">
        <f>G11/F11</f>
        <v>12.127472527472527</v>
      </c>
      <c r="K11" s="25">
        <v>0</v>
      </c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24"/>
      <c r="B12" s="23"/>
      <c r="C12" s="23"/>
      <c r="D12" s="23"/>
      <c r="E12" s="23"/>
      <c r="F12" s="23"/>
      <c r="G12" s="23"/>
      <c r="H12" s="23"/>
      <c r="I12" s="25"/>
      <c r="J12" s="25"/>
      <c r="K12" s="25"/>
      <c r="N12" s="17">
        <v>1</v>
      </c>
      <c r="O12" s="18">
        <v>52</v>
      </c>
      <c r="P12" s="19">
        <f>O12*R7</f>
        <v>643.0268411730807</v>
      </c>
      <c r="Q12" s="17">
        <v>3</v>
      </c>
      <c r="R12" s="18">
        <v>35</v>
      </c>
      <c r="S12" s="19">
        <f>R12*R7</f>
        <v>432.80652771265045</v>
      </c>
    </row>
    <row r="13" spans="1:19" ht="15.75">
      <c r="A13" s="24"/>
      <c r="B13" s="23"/>
      <c r="C13" s="23"/>
      <c r="D13" s="23"/>
      <c r="E13" s="23"/>
      <c r="F13" s="23"/>
      <c r="G13" s="23"/>
      <c r="H13" s="23"/>
      <c r="I13" s="25"/>
      <c r="J13" s="25"/>
      <c r="K13" s="25"/>
      <c r="N13" s="17">
        <v>2</v>
      </c>
      <c r="O13" s="18">
        <v>50</v>
      </c>
      <c r="P13" s="19">
        <f>O13*R7</f>
        <v>618.29503958950067</v>
      </c>
      <c r="Q13" s="17">
        <v>4</v>
      </c>
      <c r="R13" s="18">
        <v>18</v>
      </c>
      <c r="S13" s="19">
        <f>R7*R13</f>
        <v>222.58621425222023</v>
      </c>
    </row>
    <row r="14" spans="1:19" ht="15.75">
      <c r="A14" s="24"/>
      <c r="B14" s="23"/>
      <c r="C14" s="23"/>
      <c r="D14" s="23"/>
      <c r="E14" s="23"/>
      <c r="F14" s="23"/>
      <c r="G14" s="23"/>
      <c r="H14" s="23"/>
      <c r="I14" s="25"/>
      <c r="J14" s="25"/>
      <c r="K14" s="25"/>
      <c r="N14" s="17">
        <v>3</v>
      </c>
      <c r="O14" s="18">
        <v>50</v>
      </c>
      <c r="P14" s="19">
        <f>R7*O14</f>
        <v>618.29503958950067</v>
      </c>
      <c r="Q14" s="17">
        <v>5</v>
      </c>
      <c r="R14" s="18">
        <v>0</v>
      </c>
      <c r="S14" s="19">
        <f>R14*R7</f>
        <v>0</v>
      </c>
    </row>
    <row r="15" spans="1:19" ht="15.75">
      <c r="A15" s="24"/>
      <c r="B15" s="23"/>
      <c r="C15" s="23"/>
      <c r="D15" s="23"/>
      <c r="E15" s="23"/>
      <c r="F15" s="23"/>
      <c r="G15" s="23"/>
      <c r="H15" s="23"/>
      <c r="I15" s="25"/>
      <c r="J15" s="25"/>
      <c r="K15" s="25"/>
      <c r="N15" s="17">
        <v>4</v>
      </c>
      <c r="O15" s="18">
        <v>50</v>
      </c>
      <c r="P15" s="19">
        <f>R7*O15</f>
        <v>618.29503958950067</v>
      </c>
      <c r="Q15" s="17">
        <v>1</v>
      </c>
      <c r="R15" s="18">
        <v>0</v>
      </c>
      <c r="S15" s="19">
        <f>R7*R15</f>
        <v>0</v>
      </c>
    </row>
    <row r="16" spans="1:19" ht="15.75">
      <c r="A16" s="24"/>
      <c r="B16" s="23"/>
      <c r="C16" s="23"/>
      <c r="D16" s="23"/>
      <c r="E16" s="23"/>
      <c r="F16" s="23"/>
      <c r="G16" s="23"/>
      <c r="H16" s="23"/>
      <c r="I16" s="25"/>
      <c r="J16" s="25"/>
      <c r="K16" s="25"/>
      <c r="N16" s="17">
        <v>5</v>
      </c>
      <c r="O16" s="18">
        <v>50</v>
      </c>
      <c r="P16" s="19">
        <f>R7*O16</f>
        <v>618.29503958950067</v>
      </c>
      <c r="Q16" s="17"/>
      <c r="R16" s="18">
        <v>0</v>
      </c>
      <c r="S16" s="19">
        <f>R7*R16</f>
        <v>0</v>
      </c>
    </row>
    <row r="17" spans="1:19" ht="15.75">
      <c r="A17" s="24"/>
      <c r="B17" s="23"/>
      <c r="C17" s="23"/>
      <c r="D17" s="23"/>
      <c r="E17" s="23"/>
      <c r="F17" s="23"/>
      <c r="G17" s="23"/>
      <c r="H17" s="23"/>
      <c r="I17" s="25"/>
      <c r="J17" s="25"/>
      <c r="K17" s="25"/>
      <c r="N17" s="17">
        <v>6</v>
      </c>
      <c r="O17" s="18">
        <v>50</v>
      </c>
      <c r="P17" s="19">
        <f>R7*O17</f>
        <v>618.29503958950067</v>
      </c>
      <c r="Q17" s="17"/>
      <c r="R17" s="18">
        <v>0</v>
      </c>
      <c r="S17" s="19">
        <f>R7*R17</f>
        <v>0</v>
      </c>
    </row>
    <row r="18" spans="1:19" ht="15.75">
      <c r="A18" s="24"/>
      <c r="B18" s="23"/>
      <c r="C18" s="23"/>
      <c r="D18" s="23"/>
      <c r="E18" s="23"/>
      <c r="F18" s="23"/>
      <c r="G18" s="23"/>
      <c r="H18" s="23"/>
      <c r="I18" s="25"/>
      <c r="J18" s="25"/>
      <c r="K18" s="25"/>
      <c r="N18" s="17">
        <v>7</v>
      </c>
      <c r="O18" s="18">
        <v>50</v>
      </c>
      <c r="P18" s="19">
        <f>R7*O18</f>
        <v>618.29503958950067</v>
      </c>
      <c r="Q18" s="17"/>
      <c r="R18" s="18">
        <v>0</v>
      </c>
      <c r="S18" s="19">
        <f>R7*R18</f>
        <v>0</v>
      </c>
    </row>
    <row r="19" spans="1:19" ht="15.75">
      <c r="A19" s="24"/>
      <c r="B19" s="23"/>
      <c r="C19" s="23"/>
      <c r="D19" s="23"/>
      <c r="E19" s="23"/>
      <c r="F19" s="23"/>
      <c r="G19" s="23"/>
      <c r="H19" s="23"/>
      <c r="I19" s="25"/>
      <c r="J19" s="25"/>
      <c r="K19" s="23"/>
      <c r="N19" s="17">
        <v>8</v>
      </c>
      <c r="O19" s="18">
        <v>53</v>
      </c>
      <c r="P19" s="19">
        <f>R7*O19</f>
        <v>655.39274196487065</v>
      </c>
      <c r="Q19" s="17"/>
      <c r="R19" s="18">
        <v>0</v>
      </c>
      <c r="S19" s="19">
        <f>R7*R19</f>
        <v>0</v>
      </c>
    </row>
    <row r="20" spans="1:19" ht="15.75" customHeight="1">
      <c r="A20" s="24"/>
      <c r="B20" s="23"/>
      <c r="C20" s="23"/>
      <c r="D20" s="23"/>
      <c r="E20" s="23"/>
      <c r="F20" s="23"/>
      <c r="G20" s="23"/>
      <c r="H20" s="23"/>
      <c r="I20" s="25"/>
      <c r="J20" s="25"/>
      <c r="K20" s="23"/>
      <c r="N20" s="17">
        <v>9</v>
      </c>
      <c r="O20" s="18">
        <v>0</v>
      </c>
      <c r="P20" s="19">
        <f>R7*O20</f>
        <v>0</v>
      </c>
      <c r="Q20" s="17"/>
      <c r="R20" s="18">
        <v>0</v>
      </c>
      <c r="S20" s="19">
        <f>R7*R20</f>
        <v>0</v>
      </c>
    </row>
    <row r="21" spans="1:19" ht="15.75" customHeight="1">
      <c r="A21" s="24"/>
      <c r="B21" s="23"/>
      <c r="C21" s="23"/>
      <c r="D21" s="23"/>
      <c r="E21" s="23"/>
      <c r="F21" s="23"/>
      <c r="G21" s="23"/>
      <c r="H21" s="23"/>
      <c r="I21" s="25"/>
      <c r="J21" s="25"/>
      <c r="K21" s="23"/>
      <c r="N21" s="20" t="s">
        <v>53</v>
      </c>
      <c r="O21" s="18">
        <v>0</v>
      </c>
      <c r="P21" s="19">
        <f>R7*O21</f>
        <v>0</v>
      </c>
      <c r="Q21" s="17"/>
      <c r="R21" s="18"/>
      <c r="S21" s="19">
        <f>R7*R21</f>
        <v>0</v>
      </c>
    </row>
    <row r="22" spans="1:19" ht="15.75" customHeight="1">
      <c r="A22" s="24"/>
      <c r="B22" s="23"/>
      <c r="C22" s="23"/>
      <c r="D22" s="23"/>
      <c r="E22" s="23"/>
      <c r="F22" s="23"/>
      <c r="G22" s="23"/>
      <c r="H22" s="23"/>
      <c r="I22" s="25"/>
      <c r="J22" s="25"/>
      <c r="K22" s="23"/>
      <c r="N22" s="13" t="s">
        <v>59</v>
      </c>
      <c r="O22" s="21">
        <f>P8-O12-O13-O14-O15-O16-O17-O18-O19-O20-O21</f>
        <v>-123.34671538262324</v>
      </c>
      <c r="P22" s="21">
        <f>Q8-P12-P13-P14-P15-P16-P17-P18-P19-P20-P21</f>
        <v>-1525.2932454146785</v>
      </c>
      <c r="Q22" s="13" t="s">
        <v>59</v>
      </c>
      <c r="R22" s="21">
        <f>P8-R12-R13-R14-R15-R16-R17-R18-R19-R20-R21</f>
        <v>228.65328461737676</v>
      </c>
      <c r="S22" s="21">
        <f>Q8-S12-S13-S14-S15-S16-S17-S18-S19-S20-S21</f>
        <v>2827.5038332954064</v>
      </c>
    </row>
    <row r="23" spans="1:19" ht="15.75" customHeight="1">
      <c r="A23" s="24"/>
      <c r="B23" s="23"/>
      <c r="C23" s="23"/>
      <c r="D23" s="23"/>
      <c r="E23" s="23"/>
      <c r="F23" s="23"/>
      <c r="G23" s="23"/>
      <c r="H23" s="23"/>
      <c r="I23" s="25"/>
      <c r="J23" s="25"/>
      <c r="K23" s="23"/>
      <c r="N23" s="13" t="s">
        <v>60</v>
      </c>
      <c r="O23" s="16">
        <f>O12+O13+O14+O15+O16+O17+O18+O19+O20+O21</f>
        <v>405</v>
      </c>
      <c r="P23" s="16">
        <f>P12+P13+P14+P15+P16+P17+P18+P19+P20+P21</f>
        <v>5008.1898206749547</v>
      </c>
      <c r="Q23" s="13" t="s">
        <v>60</v>
      </c>
      <c r="R23" s="16">
        <f>R12+R13+R14+R15+R16+R17+R18+R19+R20+R21</f>
        <v>53</v>
      </c>
      <c r="S23" s="16">
        <f>S12+S13+S14+S15+S16+S17+S18+S19+S20+S21</f>
        <v>655.39274196487065</v>
      </c>
    </row>
    <row r="24" spans="1:19" ht="15.75" customHeight="1">
      <c r="A24" s="24"/>
      <c r="B24" s="23"/>
      <c r="C24" s="23"/>
      <c r="D24" s="23"/>
      <c r="E24" s="23"/>
      <c r="F24" s="23"/>
      <c r="G24" s="23"/>
      <c r="H24" s="23"/>
      <c r="I24" s="25"/>
      <c r="J24" s="25"/>
      <c r="K24" s="23"/>
    </row>
    <row r="25" spans="1:19" ht="15.75" customHeight="1">
      <c r="A25" s="24"/>
      <c r="B25" s="23"/>
      <c r="C25" s="23"/>
      <c r="D25" s="23"/>
      <c r="E25" s="23"/>
      <c r="F25" s="23"/>
      <c r="G25" s="23"/>
      <c r="H25" s="23"/>
      <c r="I25" s="25"/>
      <c r="J25" s="25"/>
      <c r="K25" s="23"/>
    </row>
    <row r="26" spans="1:19" ht="15.75" customHeight="1">
      <c r="A26" s="24"/>
      <c r="B26" s="23"/>
      <c r="C26" s="23"/>
      <c r="D26" s="23"/>
      <c r="E26" s="23"/>
      <c r="F26" s="23"/>
      <c r="G26" s="23"/>
      <c r="H26" s="23"/>
      <c r="I26" s="25"/>
      <c r="J26" s="25"/>
      <c r="K26" s="23"/>
    </row>
    <row r="27" spans="1:19" ht="15.75" customHeight="1">
      <c r="A27" s="24"/>
      <c r="B27" s="23"/>
      <c r="C27" s="23"/>
      <c r="D27" s="23"/>
      <c r="E27" s="23"/>
      <c r="F27" s="23"/>
      <c r="G27" s="23"/>
      <c r="H27" s="23"/>
      <c r="I27" s="25"/>
      <c r="J27" s="25"/>
      <c r="K27" s="23"/>
    </row>
    <row r="28" spans="1:19" ht="15.75" customHeight="1">
      <c r="A28" s="24"/>
      <c r="B28" s="23"/>
      <c r="C28" s="23"/>
      <c r="D28" s="23"/>
      <c r="E28" s="23"/>
      <c r="F28" s="23"/>
      <c r="G28" s="23"/>
      <c r="H28" s="23"/>
      <c r="I28" s="25"/>
      <c r="J28" s="25"/>
      <c r="K28" s="23"/>
    </row>
    <row r="29" spans="1:19" ht="15.75" customHeight="1">
      <c r="A29" s="24"/>
      <c r="B29" s="23"/>
      <c r="C29" s="23"/>
      <c r="D29" s="23"/>
      <c r="E29" s="23"/>
      <c r="F29" s="23"/>
      <c r="G29" s="23"/>
      <c r="H29" s="23"/>
      <c r="I29" s="25"/>
      <c r="J29" s="25"/>
      <c r="K29" s="23"/>
    </row>
    <row r="30" spans="1:19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spans="1:19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 spans="1:19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spans="1:11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spans="1:11" ht="15.75" customHeight="1"/>
    <row r="36" spans="1:11" ht="15.75" customHeight="1"/>
    <row r="37" spans="1:11" ht="15.75" customHeight="1"/>
    <row r="38" spans="1:11" ht="15.75" customHeight="1"/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7"/>
      <c r="O55" s="7"/>
      <c r="P55" s="7"/>
      <c r="Q55" s="7"/>
      <c r="R55" s="7"/>
      <c r="S55" s="7"/>
    </row>
    <row r="56" spans="14:19" ht="15.75" customHeight="1">
      <c r="N56" s="22"/>
      <c r="O56" s="22"/>
      <c r="P56" s="22"/>
      <c r="Q56" s="22"/>
      <c r="R56" s="22"/>
      <c r="S56" s="2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O5:O6"/>
    <mergeCell ref="N10:P10"/>
    <mergeCell ref="Q10:S10"/>
    <mergeCell ref="Q5:Q6"/>
    <mergeCell ref="R5:R6"/>
    <mergeCell ref="S5:S6"/>
    <mergeCell ref="R7:R8"/>
    <mergeCell ref="S7:S8"/>
    <mergeCell ref="N9:S9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>
  <dimension ref="A1:K27"/>
  <sheetViews>
    <sheetView workbookViewId="0">
      <selection activeCell="A8" sqref="A8"/>
    </sheetView>
  </sheetViews>
  <sheetFormatPr defaultRowHeight="15"/>
  <cols>
    <col min="1" max="1" width="10.140625" bestFit="1" customWidth="1"/>
  </cols>
  <sheetData>
    <row r="1" spans="1:11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1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200</v>
      </c>
    </row>
    <row r="3" spans="1:11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1">
      <c r="A4" s="73" t="s">
        <v>42</v>
      </c>
      <c r="B4" s="73" t="s">
        <v>12</v>
      </c>
      <c r="C4" s="510">
        <f>AVERAGEA(I7:I44)</f>
        <v>0.94933333333333336</v>
      </c>
      <c r="D4" s="511"/>
      <c r="E4" s="510">
        <f>AVERAGEA(J7:J44)</f>
        <v>17.865168539325843</v>
      </c>
      <c r="F4" s="511"/>
      <c r="G4" s="510">
        <f>AVERAGEA(K7:K44)</f>
        <v>0</v>
      </c>
      <c r="H4" s="511"/>
      <c r="I4" s="74">
        <f>C4*K2</f>
        <v>189.86666666666667</v>
      </c>
      <c r="J4" s="74">
        <f>I4*E4</f>
        <v>3392.0000000000005</v>
      </c>
      <c r="K4" s="74">
        <f>K2*G4</f>
        <v>0</v>
      </c>
    </row>
    <row r="5" spans="1:1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</row>
    <row r="6" spans="1:11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</row>
    <row r="7" spans="1:11">
      <c r="A7" s="77">
        <v>46001</v>
      </c>
      <c r="B7" s="78">
        <v>6102</v>
      </c>
      <c r="C7" s="78" t="s">
        <v>122</v>
      </c>
      <c r="D7" s="78">
        <v>357</v>
      </c>
      <c r="E7" s="78">
        <v>18</v>
      </c>
      <c r="F7" s="78">
        <v>356</v>
      </c>
      <c r="G7" s="78">
        <v>6360</v>
      </c>
      <c r="H7" s="78">
        <v>0</v>
      </c>
      <c r="I7" s="79">
        <f>F7/(D7+E7)</f>
        <v>0.94933333333333336</v>
      </c>
      <c r="J7" s="79">
        <f>G7/F7</f>
        <v>17.865168539325843</v>
      </c>
      <c r="K7" s="79">
        <f>H7/(D7+E7)</f>
        <v>0</v>
      </c>
    </row>
    <row r="8" spans="1:11">
      <c r="A8" s="80"/>
      <c r="B8" s="256"/>
      <c r="C8" s="288"/>
      <c r="D8" s="81"/>
      <c r="E8" s="81"/>
      <c r="F8" s="81"/>
      <c r="G8" s="81"/>
      <c r="H8" s="81"/>
      <c r="I8" s="79"/>
      <c r="J8" s="79"/>
      <c r="K8" s="79"/>
    </row>
    <row r="9" spans="1:11">
      <c r="A9" s="80"/>
      <c r="B9" s="258"/>
      <c r="C9" s="258"/>
      <c r="D9" s="81"/>
      <c r="E9" s="81"/>
      <c r="F9" s="81"/>
      <c r="G9" s="81"/>
      <c r="H9" s="81"/>
      <c r="I9" s="79"/>
      <c r="J9" s="79"/>
      <c r="K9" s="79"/>
    </row>
    <row r="10" spans="1:11">
      <c r="A10" s="80"/>
      <c r="B10" s="259"/>
      <c r="C10" s="259"/>
      <c r="D10" s="81"/>
      <c r="E10" s="81"/>
      <c r="F10" s="81"/>
      <c r="G10" s="81"/>
      <c r="H10" s="81"/>
      <c r="I10" s="79"/>
      <c r="J10" s="79"/>
      <c r="K10" s="79"/>
    </row>
    <row r="11" spans="1:11">
      <c r="A11" s="80"/>
      <c r="B11" s="261"/>
      <c r="C11" s="261"/>
      <c r="D11" s="81"/>
      <c r="E11" s="81"/>
      <c r="F11" s="81"/>
      <c r="G11" s="81"/>
      <c r="H11" s="81"/>
      <c r="I11" s="79"/>
      <c r="J11" s="79"/>
      <c r="K11" s="79"/>
    </row>
    <row r="12" spans="1:11">
      <c r="A12" s="80"/>
      <c r="B12" s="264"/>
      <c r="C12" s="264"/>
      <c r="D12" s="81"/>
      <c r="E12" s="81"/>
      <c r="F12" s="81"/>
      <c r="G12" s="81"/>
      <c r="H12" s="81"/>
      <c r="I12" s="79"/>
      <c r="J12" s="79"/>
      <c r="K12" s="79"/>
    </row>
    <row r="13" spans="1:11">
      <c r="A13" s="80"/>
      <c r="B13" s="266"/>
      <c r="C13" s="266"/>
      <c r="D13" s="81"/>
      <c r="E13" s="81"/>
      <c r="F13" s="81"/>
      <c r="G13" s="81"/>
      <c r="H13" s="81"/>
      <c r="I13" s="79"/>
      <c r="J13" s="79"/>
      <c r="K13" s="79"/>
    </row>
    <row r="14" spans="1:11">
      <c r="A14" s="80"/>
      <c r="B14" s="269"/>
      <c r="C14" s="269"/>
      <c r="D14" s="81"/>
      <c r="E14" s="81"/>
      <c r="F14" s="81"/>
      <c r="G14" s="81"/>
      <c r="H14" s="81"/>
      <c r="I14" s="79"/>
      <c r="J14" s="79"/>
      <c r="K14" s="79"/>
    </row>
    <row r="15" spans="1:11">
      <c r="A15" s="80"/>
      <c r="B15" s="241"/>
      <c r="C15" s="241"/>
      <c r="D15" s="81"/>
      <c r="E15" s="81"/>
      <c r="F15" s="81"/>
      <c r="G15" s="81"/>
      <c r="H15" s="81"/>
      <c r="I15" s="79"/>
      <c r="J15" s="79"/>
      <c r="K15" s="79"/>
    </row>
    <row r="16" spans="1:11">
      <c r="A16" s="80"/>
      <c r="B16" s="153"/>
      <c r="C16" s="170"/>
      <c r="D16" s="81"/>
      <c r="E16" s="81"/>
      <c r="F16" s="81"/>
      <c r="G16" s="81"/>
      <c r="H16" s="81"/>
      <c r="I16" s="79"/>
      <c r="J16" s="79"/>
      <c r="K16" s="79"/>
    </row>
    <row r="17" spans="1:11">
      <c r="A17" s="80"/>
      <c r="B17" s="81"/>
      <c r="C17" s="155"/>
      <c r="D17" s="81"/>
      <c r="E17" s="81"/>
      <c r="F17" s="81"/>
      <c r="G17" s="81"/>
      <c r="H17" s="81"/>
      <c r="I17" s="79"/>
      <c r="J17" s="79"/>
      <c r="K17" s="79"/>
    </row>
    <row r="18" spans="1:11">
      <c r="A18" s="80"/>
      <c r="B18" s="138"/>
      <c r="C18" s="155"/>
      <c r="D18" s="81"/>
      <c r="E18" s="81"/>
      <c r="F18" s="81"/>
      <c r="G18" s="81"/>
      <c r="H18" s="81"/>
      <c r="I18" s="79"/>
      <c r="J18" s="79"/>
      <c r="K18" s="79"/>
    </row>
    <row r="19" spans="1:11">
      <c r="A19" s="80"/>
      <c r="B19" s="81"/>
      <c r="C19" s="155"/>
      <c r="D19" s="81"/>
      <c r="E19" s="81"/>
      <c r="F19" s="81"/>
      <c r="G19" s="81"/>
      <c r="H19" s="81"/>
      <c r="I19" s="79"/>
      <c r="J19" s="79"/>
      <c r="K19" s="79"/>
    </row>
    <row r="20" spans="1:11">
      <c r="A20" s="80"/>
      <c r="B20" s="81"/>
      <c r="C20" s="157"/>
      <c r="D20" s="81"/>
      <c r="E20" s="81"/>
      <c r="F20" s="81"/>
      <c r="G20" s="81"/>
      <c r="H20" s="81"/>
      <c r="I20" s="79"/>
      <c r="J20" s="79"/>
      <c r="K20" s="79"/>
    </row>
    <row r="21" spans="1:11">
      <c r="A21" s="80"/>
      <c r="B21" s="157"/>
      <c r="C21" s="157"/>
      <c r="D21" s="81"/>
      <c r="E21" s="81"/>
      <c r="F21" s="81"/>
      <c r="G21" s="81"/>
      <c r="H21" s="81"/>
      <c r="I21" s="79"/>
      <c r="J21" s="79"/>
      <c r="K21" s="79"/>
    </row>
    <row r="22" spans="1:11">
      <c r="A22" s="80"/>
      <c r="B22" s="145"/>
      <c r="C22" s="158"/>
      <c r="D22" s="81"/>
      <c r="E22" s="81"/>
      <c r="F22" s="81"/>
      <c r="G22" s="81"/>
      <c r="H22" s="81"/>
      <c r="I22" s="79"/>
      <c r="J22" s="79"/>
      <c r="K22" s="79"/>
    </row>
    <row r="23" spans="1:11">
      <c r="A23" s="80"/>
      <c r="B23" s="130"/>
      <c r="C23" s="146"/>
      <c r="D23" s="81"/>
      <c r="E23" s="81"/>
      <c r="F23" s="81"/>
      <c r="G23" s="81"/>
      <c r="H23" s="81"/>
      <c r="I23" s="79"/>
      <c r="J23" s="79"/>
      <c r="K23" s="79"/>
    </row>
    <row r="24" spans="1:11">
      <c r="A24" s="80"/>
      <c r="B24" s="81"/>
      <c r="C24" s="148"/>
      <c r="D24" s="81"/>
      <c r="E24" s="81"/>
      <c r="F24" s="81"/>
      <c r="G24" s="81"/>
      <c r="H24" s="81"/>
      <c r="I24" s="79"/>
      <c r="J24" s="79"/>
      <c r="K24" s="79"/>
    </row>
    <row r="25" spans="1:1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</row>
    <row r="26" spans="1:1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</row>
    <row r="27" spans="1:1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</row>
  </sheetData>
  <sheetProtection password="CC6F" sheet="1" objects="1" scenarios="1"/>
  <mergeCells count="23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A5:A6"/>
    <mergeCell ref="B5:B6"/>
    <mergeCell ref="C5:C6"/>
    <mergeCell ref="D5:D6"/>
    <mergeCell ref="E5:E6"/>
    <mergeCell ref="I5:I6"/>
    <mergeCell ref="J5:J6"/>
    <mergeCell ref="K5:K6"/>
    <mergeCell ref="C4:D4"/>
    <mergeCell ref="E4:F4"/>
    <mergeCell ref="G4:H4"/>
    <mergeCell ref="F5:G5"/>
    <mergeCell ref="H5:H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sheetPr codeName="Лист22"/>
  <dimension ref="A1:S1000"/>
  <sheetViews>
    <sheetView workbookViewId="0">
      <selection activeCell="A8" sqref="A8"/>
    </sheetView>
  </sheetViews>
  <sheetFormatPr defaultColWidth="14.42578125" defaultRowHeight="15" customHeight="1"/>
  <cols>
    <col min="1" max="1" width="10.140625" customWidth="1"/>
    <col min="2" max="8" width="8.7109375" customWidth="1"/>
    <col min="9" max="9" width="14" customWidth="1"/>
    <col min="10" max="10" width="15.5703125" customWidth="1"/>
    <col min="11" max="11" width="12.85546875" customWidth="1"/>
    <col min="12" max="13" width="8.7109375" customWidth="1"/>
    <col min="14" max="14" width="12" customWidth="1"/>
    <col min="15" max="15" width="11.5703125" customWidth="1"/>
    <col min="16" max="16" width="13.5703125" customWidth="1"/>
    <col min="17" max="17" width="12" customWidth="1"/>
    <col min="18" max="18" width="10.42578125" customWidth="1"/>
    <col min="19" max="19" width="12.7109375" customWidth="1"/>
    <col min="20" max="26" width="8.7109375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436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43</v>
      </c>
      <c r="B4" s="2" t="s">
        <v>12</v>
      </c>
      <c r="C4" s="500">
        <f>AVERAGEA(I7:I42)</f>
        <v>0.81105990783410142</v>
      </c>
      <c r="D4" s="501"/>
      <c r="E4" s="500">
        <f>AVERAGEA(J7:J42)</f>
        <v>12.8125</v>
      </c>
      <c r="F4" s="501"/>
      <c r="G4" s="500">
        <f>AVERAGEA(K7:K42)</f>
        <v>0</v>
      </c>
      <c r="H4" s="501"/>
      <c r="I4" s="3">
        <f>C4*K2</f>
        <v>353.62211981566821</v>
      </c>
      <c r="J4" s="3">
        <f>I4*E4</f>
        <v>4530.7834101382487</v>
      </c>
      <c r="K4" s="3">
        <v>440</v>
      </c>
    </row>
    <row r="5" spans="1:19" ht="15" customHeight="1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2"/>
      <c r="B6" s="492"/>
      <c r="C6" s="492"/>
      <c r="D6" s="492"/>
      <c r="E6" s="492"/>
      <c r="F6" s="4" t="s">
        <v>20</v>
      </c>
      <c r="G6" s="5" t="s">
        <v>21</v>
      </c>
      <c r="H6" s="492"/>
      <c r="I6" s="492"/>
      <c r="J6" s="492"/>
      <c r="K6" s="492"/>
      <c r="N6" s="492"/>
      <c r="O6" s="492"/>
      <c r="P6" s="492"/>
      <c r="Q6" s="492"/>
      <c r="R6" s="492"/>
      <c r="S6" s="492"/>
    </row>
    <row r="7" spans="1:19" ht="15.75">
      <c r="A7" s="11">
        <v>45993</v>
      </c>
      <c r="B7" s="12">
        <v>3512</v>
      </c>
      <c r="C7" s="12" t="s">
        <v>63</v>
      </c>
      <c r="D7" s="12">
        <v>425</v>
      </c>
      <c r="E7" s="12">
        <v>9</v>
      </c>
      <c r="F7" s="12">
        <v>352</v>
      </c>
      <c r="G7" s="12">
        <v>4510</v>
      </c>
      <c r="H7" s="12">
        <v>0</v>
      </c>
      <c r="I7" s="6">
        <f>F7/(D7+E7)</f>
        <v>0.81105990783410142</v>
      </c>
      <c r="J7" s="6">
        <f>G7/F7</f>
        <v>12.8125</v>
      </c>
      <c r="K7" s="6">
        <f>H7/(D7+E7)</f>
        <v>0</v>
      </c>
      <c r="N7" s="13" t="s">
        <v>49</v>
      </c>
      <c r="O7" s="14">
        <f>K2</f>
        <v>436</v>
      </c>
      <c r="P7" s="15">
        <f>I4</f>
        <v>353.62211981566821</v>
      </c>
      <c r="Q7" s="15">
        <f>J4</f>
        <v>4530.7834101382487</v>
      </c>
      <c r="R7" s="493">
        <f>Q7/P7</f>
        <v>12.812499999999998</v>
      </c>
      <c r="S7" s="493">
        <f>P7/O7</f>
        <v>0.81105990783410142</v>
      </c>
    </row>
    <row r="8" spans="1:19" ht="15.75">
      <c r="A8" s="11"/>
      <c r="B8" s="12"/>
      <c r="C8" s="12"/>
      <c r="D8" s="12"/>
      <c r="E8" s="12"/>
      <c r="F8" s="12"/>
      <c r="G8" s="12"/>
      <c r="H8" s="12"/>
      <c r="I8" s="6"/>
      <c r="J8" s="6"/>
      <c r="K8" s="6"/>
      <c r="N8" s="13" t="s">
        <v>50</v>
      </c>
      <c r="O8" s="14">
        <f>O7</f>
        <v>436</v>
      </c>
      <c r="P8" s="16">
        <f>O8*S7</f>
        <v>353.62211981566821</v>
      </c>
      <c r="Q8" s="16">
        <f>P8*R7</f>
        <v>4530.7834101382487</v>
      </c>
      <c r="R8" s="492"/>
      <c r="S8" s="492"/>
    </row>
    <row r="9" spans="1:19">
      <c r="A9" s="11"/>
      <c r="B9" s="12"/>
      <c r="C9" s="12"/>
      <c r="D9" s="12"/>
      <c r="E9" s="12"/>
      <c r="F9" s="12"/>
      <c r="G9" s="12"/>
      <c r="H9" s="12"/>
      <c r="I9" s="6"/>
      <c r="J9" s="6"/>
      <c r="K9" s="6"/>
      <c r="N9" s="494" t="s">
        <v>51</v>
      </c>
      <c r="O9" s="495"/>
      <c r="P9" s="495"/>
      <c r="Q9" s="495"/>
      <c r="R9" s="495"/>
      <c r="S9" s="496"/>
    </row>
    <row r="10" spans="1:19">
      <c r="A10" s="11"/>
      <c r="B10" s="12"/>
      <c r="C10" s="12"/>
      <c r="D10" s="12"/>
      <c r="E10" s="12"/>
      <c r="F10" s="12"/>
      <c r="G10" s="12"/>
      <c r="H10" s="12"/>
      <c r="I10" s="6"/>
      <c r="J10" s="6"/>
      <c r="K10" s="6"/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11"/>
      <c r="B11" s="12"/>
      <c r="C11" s="12"/>
      <c r="D11" s="12"/>
      <c r="E11" s="12"/>
      <c r="F11" s="12"/>
      <c r="G11" s="12"/>
      <c r="H11" s="12"/>
      <c r="I11" s="6"/>
      <c r="J11" s="6"/>
      <c r="K11" s="6"/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11"/>
      <c r="B12" s="12"/>
      <c r="C12" s="12"/>
      <c r="D12" s="12"/>
      <c r="E12" s="12"/>
      <c r="F12" s="12"/>
      <c r="G12" s="12"/>
      <c r="H12" s="12"/>
      <c r="I12" s="6"/>
      <c r="J12" s="6"/>
      <c r="K12" s="6"/>
      <c r="N12" s="17">
        <v>1</v>
      </c>
      <c r="O12" s="18">
        <v>44</v>
      </c>
      <c r="P12" s="19">
        <f>O12*R7</f>
        <v>563.74999999999989</v>
      </c>
      <c r="Q12" s="17">
        <v>3</v>
      </c>
      <c r="R12" s="18">
        <v>35</v>
      </c>
      <c r="S12" s="19">
        <f>R12*R7</f>
        <v>448.43749999999994</v>
      </c>
    </row>
    <row r="13" spans="1:19" ht="15.75">
      <c r="A13" s="11"/>
      <c r="B13" s="12"/>
      <c r="C13" s="12"/>
      <c r="D13" s="12"/>
      <c r="E13" s="12"/>
      <c r="F13" s="12"/>
      <c r="G13" s="12"/>
      <c r="H13" s="12"/>
      <c r="I13" s="6"/>
      <c r="J13" s="9"/>
      <c r="K13" s="9"/>
      <c r="N13" s="17">
        <v>2</v>
      </c>
      <c r="O13" s="18">
        <v>44</v>
      </c>
      <c r="P13" s="19">
        <f>O13*R7</f>
        <v>563.74999999999989</v>
      </c>
      <c r="Q13" s="17">
        <v>4</v>
      </c>
      <c r="R13" s="18">
        <v>18</v>
      </c>
      <c r="S13" s="19">
        <f>R7*R13</f>
        <v>230.62499999999997</v>
      </c>
    </row>
    <row r="14" spans="1:19" ht="15.75">
      <c r="A14" s="11"/>
      <c r="B14" s="12"/>
      <c r="C14" s="12"/>
      <c r="D14" s="12"/>
      <c r="E14" s="12"/>
      <c r="F14" s="12"/>
      <c r="G14" s="12"/>
      <c r="H14" s="12"/>
      <c r="I14" s="6"/>
      <c r="J14" s="9"/>
      <c r="K14" s="9"/>
      <c r="N14" s="17">
        <v>3</v>
      </c>
      <c r="O14" s="18">
        <v>44</v>
      </c>
      <c r="P14" s="19">
        <f>R7*O14</f>
        <v>563.74999999999989</v>
      </c>
      <c r="Q14" s="17">
        <v>5</v>
      </c>
      <c r="R14" s="18">
        <v>0</v>
      </c>
      <c r="S14" s="19">
        <f>R14*R7</f>
        <v>0</v>
      </c>
    </row>
    <row r="15" spans="1:19" ht="15.75">
      <c r="A15" s="11"/>
      <c r="B15" s="12"/>
      <c r="C15" s="12"/>
      <c r="D15" s="12"/>
      <c r="E15" s="12"/>
      <c r="F15" s="12"/>
      <c r="G15" s="12"/>
      <c r="H15" s="12"/>
      <c r="I15" s="6"/>
      <c r="J15" s="9"/>
      <c r="K15" s="9"/>
      <c r="N15" s="17">
        <v>4</v>
      </c>
      <c r="O15" s="18">
        <v>44</v>
      </c>
      <c r="P15" s="19">
        <f>R7*O15</f>
        <v>563.74999999999989</v>
      </c>
      <c r="Q15" s="17">
        <v>1</v>
      </c>
      <c r="R15" s="18">
        <v>0</v>
      </c>
      <c r="S15" s="19">
        <f>R7*R15</f>
        <v>0</v>
      </c>
    </row>
    <row r="16" spans="1:19" ht="15.75">
      <c r="A16" s="11"/>
      <c r="B16" s="12"/>
      <c r="C16" s="12"/>
      <c r="D16" s="12"/>
      <c r="E16" s="12"/>
      <c r="F16" s="12"/>
      <c r="G16" s="12"/>
      <c r="H16" s="12"/>
      <c r="I16" s="6"/>
      <c r="J16" s="9"/>
      <c r="K16" s="9"/>
      <c r="N16" s="17">
        <v>5</v>
      </c>
      <c r="O16" s="18">
        <v>44</v>
      </c>
      <c r="P16" s="19">
        <f>R7*O16</f>
        <v>563.74999999999989</v>
      </c>
      <c r="Q16" s="17"/>
      <c r="R16" s="18">
        <v>0</v>
      </c>
      <c r="S16" s="19">
        <f>R7*R16</f>
        <v>0</v>
      </c>
    </row>
    <row r="17" spans="1:19" ht="15.75">
      <c r="A17" s="11"/>
      <c r="B17" s="12"/>
      <c r="C17" s="12"/>
      <c r="D17" s="12"/>
      <c r="E17" s="12"/>
      <c r="F17" s="12"/>
      <c r="G17" s="12"/>
      <c r="H17" s="12"/>
      <c r="I17" s="6"/>
      <c r="J17" s="9"/>
      <c r="K17" s="9"/>
      <c r="N17" s="17">
        <v>6</v>
      </c>
      <c r="O17" s="18">
        <v>44</v>
      </c>
      <c r="P17" s="19">
        <f>R7*O17</f>
        <v>563.74999999999989</v>
      </c>
      <c r="Q17" s="17"/>
      <c r="R17" s="18">
        <v>0</v>
      </c>
      <c r="S17" s="19">
        <f>R7*R17</f>
        <v>0</v>
      </c>
    </row>
    <row r="18" spans="1:19" ht="15.75">
      <c r="A18" s="11"/>
      <c r="B18" s="12"/>
      <c r="C18" s="12"/>
      <c r="D18" s="12"/>
      <c r="E18" s="12"/>
      <c r="F18" s="12"/>
      <c r="G18" s="12"/>
      <c r="H18" s="12"/>
      <c r="I18" s="6"/>
      <c r="J18" s="9"/>
      <c r="K18" s="9"/>
      <c r="N18" s="17">
        <v>7</v>
      </c>
      <c r="O18" s="18">
        <v>43</v>
      </c>
      <c r="P18" s="19">
        <f>R7*O18</f>
        <v>550.93749999999989</v>
      </c>
      <c r="Q18" s="17"/>
      <c r="R18" s="18">
        <v>0</v>
      </c>
      <c r="S18" s="19">
        <f>R7*R18</f>
        <v>0</v>
      </c>
    </row>
    <row r="19" spans="1:19" ht="15.75">
      <c r="A19" s="11"/>
      <c r="B19" s="12"/>
      <c r="C19" s="12"/>
      <c r="D19" s="12"/>
      <c r="E19" s="12"/>
      <c r="F19" s="12"/>
      <c r="G19" s="12"/>
      <c r="H19" s="12"/>
      <c r="I19" s="6"/>
      <c r="J19" s="9"/>
      <c r="K19" s="9"/>
      <c r="N19" s="17">
        <v>8</v>
      </c>
      <c r="O19" s="18">
        <v>40</v>
      </c>
      <c r="P19" s="19">
        <f>R7*O19</f>
        <v>512.49999999999989</v>
      </c>
      <c r="Q19" s="17"/>
      <c r="R19" s="18">
        <v>0</v>
      </c>
      <c r="S19" s="19">
        <f>R7*R19</f>
        <v>0</v>
      </c>
    </row>
    <row r="20" spans="1:19" ht="15.75">
      <c r="A20" s="11"/>
      <c r="B20" s="12"/>
      <c r="C20" s="12"/>
      <c r="D20" s="12"/>
      <c r="E20" s="12"/>
      <c r="F20" s="12"/>
      <c r="G20" s="12"/>
      <c r="H20" s="12"/>
      <c r="I20" s="6"/>
      <c r="J20" s="9"/>
      <c r="K20" s="9"/>
      <c r="N20" s="17">
        <v>9</v>
      </c>
      <c r="O20" s="18">
        <v>0</v>
      </c>
      <c r="P20" s="19">
        <f>R7*O20</f>
        <v>0</v>
      </c>
      <c r="Q20" s="17"/>
      <c r="R20" s="18">
        <v>0</v>
      </c>
      <c r="S20" s="19">
        <f>R7*R20</f>
        <v>0</v>
      </c>
    </row>
    <row r="21" spans="1:19" ht="15.75" customHeight="1">
      <c r="A21" s="11"/>
      <c r="B21" s="12"/>
      <c r="C21" s="12"/>
      <c r="D21" s="12"/>
      <c r="E21" s="12"/>
      <c r="F21" s="12"/>
      <c r="G21" s="12"/>
      <c r="H21" s="12"/>
      <c r="I21" s="6"/>
      <c r="J21" s="9"/>
      <c r="K21" s="9"/>
      <c r="N21" s="20" t="s">
        <v>53</v>
      </c>
      <c r="O21" s="18">
        <v>0</v>
      </c>
      <c r="P21" s="19">
        <f>R7*O21</f>
        <v>0</v>
      </c>
      <c r="Q21" s="17"/>
      <c r="R21" s="18"/>
      <c r="S21" s="19">
        <f>R7*R21</f>
        <v>0</v>
      </c>
    </row>
    <row r="22" spans="1:19" ht="15.75" customHeight="1">
      <c r="A22" s="11"/>
      <c r="B22" s="12"/>
      <c r="C22" s="12"/>
      <c r="D22" s="12"/>
      <c r="E22" s="12"/>
      <c r="F22" s="12"/>
      <c r="G22" s="12"/>
      <c r="H22" s="12"/>
      <c r="I22" s="6"/>
      <c r="J22" s="9"/>
      <c r="K22" s="9"/>
      <c r="N22" s="13" t="s">
        <v>59</v>
      </c>
      <c r="O22" s="21">
        <f>P8-O12-O13-O14-O15-O16-O17-O18-O19-O20-O21</f>
        <v>6.6221198156682135</v>
      </c>
      <c r="P22" s="21">
        <f>Q8-P12-P13-P14-P15-P16-P17-P18-P19-P20-P21</f>
        <v>84.845910138248883</v>
      </c>
      <c r="Q22" s="13" t="s">
        <v>59</v>
      </c>
      <c r="R22" s="21">
        <f>P8-R12-R13-R14-R15-R16-R17-R18-R19-R20-R21</f>
        <v>300.62211981566821</v>
      </c>
      <c r="S22" s="21">
        <f>Q8-S12-S13-S14-S15-S16-S17-S18-S19-S20-S21</f>
        <v>3851.7209101382487</v>
      </c>
    </row>
    <row r="23" spans="1:19" ht="15.75" customHeight="1">
      <c r="A23" s="11"/>
      <c r="B23" s="12"/>
      <c r="C23" s="12"/>
      <c r="D23" s="12"/>
      <c r="E23" s="12"/>
      <c r="F23" s="12"/>
      <c r="G23" s="12"/>
      <c r="H23" s="12"/>
      <c r="I23" s="6"/>
      <c r="J23" s="9"/>
      <c r="K23" s="9"/>
      <c r="N23" s="13" t="s">
        <v>60</v>
      </c>
      <c r="O23" s="16">
        <f>O12+O13+O14+O15+O16+O17+O18+O19+O20+O21</f>
        <v>347</v>
      </c>
      <c r="P23" s="16">
        <f>P12+P13+P14+P15+P16+P17+P18+P19+P20+P21</f>
        <v>4445.9374999999991</v>
      </c>
      <c r="Q23" s="13" t="s">
        <v>60</v>
      </c>
      <c r="R23" s="16">
        <f>R12+R13+R14+R15+R16+R17+R18+R19+R20+R21</f>
        <v>53</v>
      </c>
      <c r="S23" s="16">
        <f>S12+S13+S14+S15+S16+S17+S18+S19+S20+S21</f>
        <v>679.06249999999989</v>
      </c>
    </row>
    <row r="24" spans="1:19" ht="15.75" customHeight="1">
      <c r="A24" s="11"/>
      <c r="B24" s="12"/>
      <c r="C24" s="12"/>
      <c r="D24" s="12"/>
      <c r="E24" s="12"/>
      <c r="F24" s="12"/>
      <c r="G24" s="12"/>
      <c r="H24" s="12"/>
      <c r="I24" s="6"/>
      <c r="J24" s="9"/>
      <c r="K24" s="9"/>
    </row>
    <row r="25" spans="1:19" ht="15.75" customHeight="1">
      <c r="A25" s="11"/>
      <c r="B25" s="12"/>
      <c r="C25" s="12"/>
      <c r="D25" s="12"/>
      <c r="E25" s="12"/>
      <c r="F25" s="12"/>
      <c r="G25" s="12"/>
      <c r="H25" s="12"/>
      <c r="I25" s="6"/>
      <c r="J25" s="9"/>
      <c r="K25" s="9"/>
    </row>
    <row r="26" spans="1:19" ht="15.75" customHeight="1">
      <c r="A26" s="11"/>
      <c r="B26" s="12"/>
      <c r="C26" s="12"/>
      <c r="D26" s="12"/>
      <c r="E26" s="12"/>
      <c r="F26" s="12"/>
      <c r="G26" s="12"/>
      <c r="H26" s="12"/>
      <c r="I26" s="6"/>
      <c r="J26" s="9"/>
      <c r="K26" s="9"/>
    </row>
    <row r="27" spans="1:19" ht="15.75" customHeight="1">
      <c r="A27" s="11"/>
      <c r="B27" s="12"/>
      <c r="C27" s="12"/>
      <c r="D27" s="12"/>
      <c r="E27" s="12"/>
      <c r="F27" s="12"/>
      <c r="G27" s="12"/>
      <c r="H27" s="12"/>
      <c r="I27" s="6"/>
      <c r="J27" s="9"/>
      <c r="K27" s="9"/>
    </row>
    <row r="28" spans="1:19" ht="15.75" customHeight="1">
      <c r="A28" s="11"/>
      <c r="B28" s="12"/>
      <c r="C28" s="12"/>
      <c r="D28" s="12"/>
      <c r="E28" s="12"/>
      <c r="F28" s="12"/>
      <c r="G28" s="12"/>
      <c r="H28" s="12"/>
      <c r="I28" s="6"/>
      <c r="J28" s="9"/>
      <c r="K28" s="9"/>
    </row>
    <row r="29" spans="1:19" ht="15.75" customHeight="1">
      <c r="A29" s="8"/>
      <c r="B29" s="7"/>
      <c r="C29" s="7"/>
      <c r="D29" s="7"/>
      <c r="E29" s="7"/>
      <c r="F29" s="7"/>
      <c r="G29" s="7"/>
      <c r="H29" s="7"/>
      <c r="I29" s="6"/>
      <c r="J29" s="9"/>
      <c r="K29" s="9"/>
    </row>
    <row r="30" spans="1:19" ht="15.75" customHeight="1">
      <c r="A30" s="8"/>
      <c r="B30" s="7"/>
      <c r="C30" s="7"/>
      <c r="D30" s="7"/>
      <c r="E30" s="7"/>
      <c r="F30" s="7"/>
      <c r="G30" s="7"/>
      <c r="H30" s="7"/>
      <c r="I30" s="6"/>
      <c r="J30" s="9"/>
      <c r="K30" s="9"/>
    </row>
    <row r="31" spans="1:19" ht="15.75" customHeight="1">
      <c r="A31" s="8"/>
      <c r="B31" s="7"/>
      <c r="C31" s="7"/>
      <c r="D31" s="7"/>
      <c r="E31" s="7"/>
      <c r="F31" s="7"/>
      <c r="G31" s="7"/>
      <c r="H31" s="7"/>
      <c r="I31" s="9"/>
      <c r="J31" s="9"/>
      <c r="K31" s="9"/>
    </row>
    <row r="32" spans="1:19" ht="15.75" customHeight="1">
      <c r="A32" s="8"/>
      <c r="B32" s="7"/>
      <c r="C32" s="7"/>
      <c r="D32" s="7"/>
      <c r="E32" s="7"/>
      <c r="F32" s="7"/>
      <c r="G32" s="7"/>
      <c r="H32" s="7"/>
      <c r="I32" s="9"/>
      <c r="J32" s="9"/>
      <c r="K32" s="9"/>
    </row>
    <row r="33" spans="1:11" ht="15.75" customHeight="1">
      <c r="A33" s="8"/>
      <c r="B33" s="7"/>
      <c r="C33" s="7"/>
      <c r="D33" s="7"/>
      <c r="E33" s="7"/>
      <c r="F33" s="7"/>
      <c r="G33" s="7"/>
      <c r="H33" s="7"/>
      <c r="I33" s="9"/>
      <c r="J33" s="9"/>
      <c r="K33" s="9"/>
    </row>
    <row r="34" spans="1:11" ht="15.75" customHeight="1">
      <c r="A34" s="8"/>
      <c r="B34" s="7"/>
      <c r="C34" s="7"/>
      <c r="D34" s="7"/>
      <c r="E34" s="7"/>
      <c r="F34" s="7"/>
      <c r="G34" s="7"/>
      <c r="H34" s="7"/>
      <c r="I34" s="9"/>
      <c r="J34" s="9"/>
      <c r="K34" s="9"/>
    </row>
    <row r="35" spans="1:11" ht="15.75" customHeight="1">
      <c r="A35" s="8"/>
      <c r="B35" s="7"/>
      <c r="C35" s="7"/>
      <c r="D35" s="7"/>
      <c r="E35" s="7"/>
      <c r="F35" s="7"/>
      <c r="G35" s="7"/>
      <c r="H35" s="7"/>
      <c r="I35" s="9"/>
      <c r="J35" s="9"/>
      <c r="K35" s="9"/>
    </row>
    <row r="36" spans="1:11" ht="15.75" customHeight="1">
      <c r="A36" s="8"/>
      <c r="B36" s="7"/>
      <c r="C36" s="7"/>
      <c r="D36" s="7"/>
      <c r="E36" s="7"/>
      <c r="F36" s="7"/>
      <c r="G36" s="7"/>
      <c r="H36" s="7"/>
      <c r="I36" s="9"/>
      <c r="J36" s="9"/>
      <c r="K36" s="9"/>
    </row>
    <row r="37" spans="1:11" ht="15.75" customHeight="1">
      <c r="A37" s="8"/>
      <c r="B37" s="7"/>
      <c r="C37" s="7"/>
      <c r="D37" s="7"/>
      <c r="E37" s="7"/>
      <c r="F37" s="7"/>
      <c r="G37" s="7"/>
      <c r="H37" s="7"/>
      <c r="I37" s="9"/>
      <c r="J37" s="9"/>
      <c r="K37" s="9"/>
    </row>
    <row r="38" spans="1:11" ht="15.75" customHeight="1">
      <c r="A38" s="8"/>
      <c r="B38" s="7"/>
      <c r="C38" s="7"/>
      <c r="D38" s="7"/>
      <c r="E38" s="7"/>
      <c r="F38" s="7"/>
      <c r="G38" s="7"/>
      <c r="H38" s="7"/>
      <c r="I38" s="9"/>
      <c r="J38" s="9"/>
      <c r="K38" s="9"/>
    </row>
    <row r="39" spans="1:11" ht="15.75" customHeight="1">
      <c r="A39" s="8"/>
      <c r="B39" s="7"/>
      <c r="C39" s="7"/>
      <c r="D39" s="7"/>
      <c r="E39" s="7"/>
      <c r="F39" s="7"/>
      <c r="G39" s="7"/>
      <c r="H39" s="7"/>
      <c r="I39" s="9"/>
      <c r="J39" s="9"/>
      <c r="K39" s="9"/>
    </row>
    <row r="40" spans="1:11" ht="15.75" customHeight="1">
      <c r="A40" s="8"/>
      <c r="B40" s="7"/>
      <c r="C40" s="7"/>
      <c r="D40" s="7"/>
      <c r="E40" s="7"/>
      <c r="F40" s="7"/>
      <c r="G40" s="7"/>
      <c r="H40" s="7"/>
      <c r="I40" s="9"/>
      <c r="J40" s="9"/>
      <c r="K40" s="9"/>
    </row>
    <row r="41" spans="1:11" ht="15.75" customHeight="1">
      <c r="A41" s="7"/>
      <c r="B41" s="7"/>
      <c r="C41" s="7"/>
      <c r="D41" s="7"/>
      <c r="E41" s="7"/>
      <c r="F41" s="7"/>
      <c r="G41" s="7"/>
      <c r="H41" s="7"/>
      <c r="I41" s="9"/>
      <c r="J41" s="9"/>
      <c r="K41" s="9"/>
    </row>
    <row r="42" spans="1:11" ht="15.75" customHeight="1">
      <c r="A42" s="7"/>
      <c r="B42" s="7"/>
      <c r="C42" s="7"/>
      <c r="D42" s="7"/>
      <c r="E42" s="7"/>
      <c r="F42" s="7"/>
      <c r="G42" s="7"/>
      <c r="H42" s="7"/>
      <c r="I42" s="6"/>
      <c r="J42" s="9"/>
      <c r="K42" s="9"/>
    </row>
    <row r="43" spans="1:11" ht="15.75" customHeight="1">
      <c r="I43" s="10"/>
    </row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7"/>
      <c r="O55" s="7"/>
      <c r="P55" s="7"/>
      <c r="Q55" s="7"/>
      <c r="R55" s="7"/>
      <c r="S55" s="7"/>
    </row>
    <row r="56" spans="14:19" ht="15.75" customHeight="1">
      <c r="N56" s="22"/>
      <c r="O56" s="22"/>
      <c r="P56" s="22"/>
      <c r="Q56" s="22"/>
      <c r="R56" s="22"/>
      <c r="S56" s="2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G3:H3"/>
    <mergeCell ref="C3:D3"/>
    <mergeCell ref="E3:F3"/>
    <mergeCell ref="A5:A6"/>
    <mergeCell ref="B5:B6"/>
    <mergeCell ref="C5:C6"/>
    <mergeCell ref="D5:D6"/>
    <mergeCell ref="E5:E6"/>
    <mergeCell ref="I5:I6"/>
    <mergeCell ref="J5:J6"/>
    <mergeCell ref="K5:K6"/>
    <mergeCell ref="C4:D4"/>
    <mergeCell ref="E4:F4"/>
    <mergeCell ref="G4:H4"/>
    <mergeCell ref="F5:G5"/>
    <mergeCell ref="H5:H6"/>
    <mergeCell ref="N9:S9"/>
    <mergeCell ref="N10:P10"/>
    <mergeCell ref="Q10:S10"/>
    <mergeCell ref="Q5:Q6"/>
    <mergeCell ref="R5:R6"/>
    <mergeCell ref="S5:S6"/>
    <mergeCell ref="R7:R8"/>
    <mergeCell ref="S7:S8"/>
    <mergeCell ref="N5:N6"/>
    <mergeCell ref="O5:O6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43.xml><?xml version="1.0" encoding="utf-8"?>
<worksheet xmlns="http://schemas.openxmlformats.org/spreadsheetml/2006/main" xmlns:r="http://schemas.openxmlformats.org/officeDocument/2006/relationships">
  <dimension ref="A1:S23"/>
  <sheetViews>
    <sheetView workbookViewId="0">
      <selection activeCell="I10" sqref="I10"/>
    </sheetView>
  </sheetViews>
  <sheetFormatPr defaultRowHeight="15"/>
  <cols>
    <col min="1" max="1" width="10.140625" bestFit="1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434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133</v>
      </c>
      <c r="B4" s="2" t="s">
        <v>80</v>
      </c>
      <c r="C4" s="500">
        <f>AVERAGEA(I7:I50)</f>
        <v>0.80481283422459893</v>
      </c>
      <c r="D4" s="501"/>
      <c r="E4" s="500">
        <f>AVERAGEA(J7:J50)</f>
        <v>13.534883720930232</v>
      </c>
      <c r="F4" s="501"/>
      <c r="G4" s="500">
        <f>AVERAGEA(K7:K50)</f>
        <v>0</v>
      </c>
      <c r="H4" s="501"/>
      <c r="I4" s="3">
        <f>C4*K2</f>
        <v>349.28877005347596</v>
      </c>
      <c r="J4" s="3">
        <f>I4*E4</f>
        <v>4727.5828877005351</v>
      </c>
      <c r="K4" s="3">
        <f>K2*G4</f>
        <v>0</v>
      </c>
    </row>
    <row r="5" spans="1:19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  <c r="N6" s="492"/>
      <c r="O6" s="492"/>
      <c r="P6" s="492"/>
      <c r="Q6" s="492"/>
      <c r="R6" s="492"/>
      <c r="S6" s="492"/>
    </row>
    <row r="7" spans="1:19" ht="15.75">
      <c r="A7" s="28">
        <v>46119</v>
      </c>
      <c r="B7" s="29">
        <v>3642</v>
      </c>
      <c r="C7" s="29" t="s">
        <v>128</v>
      </c>
      <c r="D7" s="29">
        <v>299</v>
      </c>
      <c r="E7" s="29">
        <v>75</v>
      </c>
      <c r="F7" s="29">
        <v>301</v>
      </c>
      <c r="G7" s="29">
        <v>4074</v>
      </c>
      <c r="H7" s="29">
        <v>0</v>
      </c>
      <c r="I7" s="25">
        <f>F7/(D7+E7)</f>
        <v>0.80481283422459893</v>
      </c>
      <c r="J7" s="25">
        <f>G7/F7</f>
        <v>13.534883720930232</v>
      </c>
      <c r="K7" s="25">
        <f>H7/(D7+E7)</f>
        <v>0</v>
      </c>
      <c r="N7" s="13" t="s">
        <v>49</v>
      </c>
      <c r="O7" s="14">
        <f>K2</f>
        <v>434</v>
      </c>
      <c r="P7" s="15">
        <f>I4</f>
        <v>349.28877005347596</v>
      </c>
      <c r="Q7" s="15">
        <f>J4</f>
        <v>4727.5828877005351</v>
      </c>
      <c r="R7" s="493">
        <f>Q7/P7</f>
        <v>13.534883720930234</v>
      </c>
      <c r="S7" s="493">
        <f>P7/O7</f>
        <v>0.80481283422459893</v>
      </c>
    </row>
    <row r="8" spans="1:19" ht="15.75">
      <c r="A8" s="24"/>
      <c r="B8" s="23"/>
      <c r="C8" s="23"/>
      <c r="D8" s="23"/>
      <c r="E8" s="23"/>
      <c r="F8" s="23"/>
      <c r="G8" s="23"/>
      <c r="H8" s="23"/>
      <c r="I8" s="25"/>
      <c r="J8" s="25"/>
      <c r="K8" s="25"/>
      <c r="N8" s="13" t="s">
        <v>50</v>
      </c>
      <c r="O8" s="14">
        <f>O7</f>
        <v>434</v>
      </c>
      <c r="P8" s="16">
        <f>O8*S7</f>
        <v>349.28877005347596</v>
      </c>
      <c r="Q8" s="16">
        <f>P8*R7</f>
        <v>4727.5828877005351</v>
      </c>
      <c r="R8" s="492"/>
      <c r="S8" s="492"/>
    </row>
    <row r="9" spans="1:19">
      <c r="A9" s="24"/>
      <c r="B9" s="23"/>
      <c r="C9" s="23"/>
      <c r="D9" s="23"/>
      <c r="E9" s="23"/>
      <c r="F9" s="23"/>
      <c r="G9" s="23"/>
      <c r="H9" s="23"/>
      <c r="I9" s="25"/>
      <c r="J9" s="25"/>
      <c r="K9" s="25"/>
      <c r="N9" s="494" t="s">
        <v>51</v>
      </c>
      <c r="O9" s="495"/>
      <c r="P9" s="495"/>
      <c r="Q9" s="495"/>
      <c r="R9" s="495"/>
      <c r="S9" s="496"/>
    </row>
    <row r="10" spans="1:19">
      <c r="A10" s="24"/>
      <c r="B10" s="23"/>
      <c r="C10" s="23"/>
      <c r="D10" s="23"/>
      <c r="E10" s="23"/>
      <c r="F10" s="23"/>
      <c r="G10" s="23"/>
      <c r="H10" s="23"/>
      <c r="I10" s="25"/>
      <c r="J10" s="25"/>
      <c r="K10" s="25"/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24"/>
      <c r="B11" s="23"/>
      <c r="C11" s="23"/>
      <c r="D11" s="23"/>
      <c r="E11" s="23"/>
      <c r="F11" s="23"/>
      <c r="G11" s="23"/>
      <c r="H11" s="23"/>
      <c r="I11" s="25"/>
      <c r="J11" s="25"/>
      <c r="K11" s="25"/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24"/>
      <c r="B12" s="23"/>
      <c r="C12" s="23"/>
      <c r="D12" s="23"/>
      <c r="E12" s="23"/>
      <c r="F12" s="23"/>
      <c r="G12" s="23"/>
      <c r="H12" s="23"/>
      <c r="I12" s="25"/>
      <c r="J12" s="25"/>
      <c r="K12" s="25"/>
      <c r="N12" s="17">
        <v>1</v>
      </c>
      <c r="O12" s="18">
        <v>44</v>
      </c>
      <c r="P12" s="19">
        <f>O12*R7</f>
        <v>595.53488372093022</v>
      </c>
      <c r="Q12" s="17">
        <v>3</v>
      </c>
      <c r="R12" s="18">
        <v>35</v>
      </c>
      <c r="S12" s="19">
        <f>R12*R7</f>
        <v>473.72093023255815</v>
      </c>
    </row>
    <row r="13" spans="1:19" ht="15.75">
      <c r="A13" s="24"/>
      <c r="B13" s="23"/>
      <c r="C13" s="23"/>
      <c r="D13" s="23"/>
      <c r="E13" s="23"/>
      <c r="F13" s="23"/>
      <c r="G13" s="23"/>
      <c r="H13" s="23"/>
      <c r="I13" s="25"/>
      <c r="J13" s="25"/>
      <c r="K13" s="25"/>
      <c r="N13" s="17">
        <v>2</v>
      </c>
      <c r="O13" s="18">
        <v>44</v>
      </c>
      <c r="P13" s="19">
        <f>O13*R7</f>
        <v>595.53488372093022</v>
      </c>
      <c r="Q13" s="17">
        <v>4</v>
      </c>
      <c r="R13" s="18">
        <v>18</v>
      </c>
      <c r="S13" s="19">
        <f>R7*R13</f>
        <v>243.62790697674421</v>
      </c>
    </row>
    <row r="14" spans="1:19" ht="15.75">
      <c r="A14" s="24"/>
      <c r="B14" s="23"/>
      <c r="C14" s="23"/>
      <c r="D14" s="23"/>
      <c r="E14" s="23"/>
      <c r="F14" s="23"/>
      <c r="G14" s="23"/>
      <c r="H14" s="23"/>
      <c r="I14" s="25"/>
      <c r="J14" s="25"/>
      <c r="K14" s="25"/>
      <c r="N14" s="17">
        <v>3</v>
      </c>
      <c r="O14" s="18">
        <v>44</v>
      </c>
      <c r="P14" s="19">
        <f>R7*O14</f>
        <v>595.53488372093022</v>
      </c>
      <c r="Q14" s="17">
        <v>5</v>
      </c>
      <c r="R14" s="18">
        <v>0</v>
      </c>
      <c r="S14" s="19">
        <f>R14*R7</f>
        <v>0</v>
      </c>
    </row>
    <row r="15" spans="1:19" ht="15.75">
      <c r="A15" s="24"/>
      <c r="B15" s="23"/>
      <c r="C15" s="23"/>
      <c r="D15" s="23"/>
      <c r="E15" s="23"/>
      <c r="F15" s="23"/>
      <c r="G15" s="23"/>
      <c r="H15" s="23"/>
      <c r="I15" s="25"/>
      <c r="J15" s="25"/>
      <c r="K15" s="25"/>
      <c r="N15" s="17">
        <v>4</v>
      </c>
      <c r="O15" s="18">
        <v>44</v>
      </c>
      <c r="P15" s="19">
        <f>R7*O15</f>
        <v>595.53488372093022</v>
      </c>
      <c r="Q15" s="17">
        <v>1</v>
      </c>
      <c r="R15" s="18">
        <v>0</v>
      </c>
      <c r="S15" s="19">
        <f>R7*R15</f>
        <v>0</v>
      </c>
    </row>
    <row r="16" spans="1:19" ht="15.75">
      <c r="A16" s="24"/>
      <c r="B16" s="23"/>
      <c r="C16" s="23"/>
      <c r="D16" s="23"/>
      <c r="E16" s="23"/>
      <c r="F16" s="23"/>
      <c r="G16" s="23"/>
      <c r="H16" s="23"/>
      <c r="I16" s="25"/>
      <c r="J16" s="25"/>
      <c r="K16" s="25"/>
      <c r="N16" s="17">
        <v>5</v>
      </c>
      <c r="O16" s="18">
        <v>44</v>
      </c>
      <c r="P16" s="19">
        <f>R7*O16</f>
        <v>595.53488372093022</v>
      </c>
      <c r="Q16" s="17"/>
      <c r="R16" s="18">
        <v>0</v>
      </c>
      <c r="S16" s="19">
        <f>R7*R16</f>
        <v>0</v>
      </c>
    </row>
    <row r="17" spans="1:19" ht="15.7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N17" s="17">
        <v>6</v>
      </c>
      <c r="O17" s="18">
        <v>44</v>
      </c>
      <c r="P17" s="19">
        <f>R7*O17</f>
        <v>595.53488372093022</v>
      </c>
      <c r="Q17" s="17"/>
      <c r="R17" s="18">
        <v>0</v>
      </c>
      <c r="S17" s="19">
        <f>R7*R17</f>
        <v>0</v>
      </c>
    </row>
    <row r="18" spans="1:19" ht="15.7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N18" s="17">
        <v>7</v>
      </c>
      <c r="O18" s="18">
        <v>43</v>
      </c>
      <c r="P18" s="19">
        <f>R7*O18</f>
        <v>582</v>
      </c>
      <c r="Q18" s="17"/>
      <c r="R18" s="18">
        <v>0</v>
      </c>
      <c r="S18" s="19">
        <f>R7*R18</f>
        <v>0</v>
      </c>
    </row>
    <row r="19" spans="1:19" ht="15.7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N19" s="17">
        <v>8</v>
      </c>
      <c r="O19" s="18">
        <v>40</v>
      </c>
      <c r="P19" s="19">
        <f>R7*O19</f>
        <v>541.39534883720933</v>
      </c>
      <c r="Q19" s="17"/>
      <c r="R19" s="18">
        <v>0</v>
      </c>
      <c r="S19" s="19">
        <f>R7*R19</f>
        <v>0</v>
      </c>
    </row>
    <row r="20" spans="1:19" ht="15.75">
      <c r="N20" s="17">
        <v>9</v>
      </c>
      <c r="O20" s="18">
        <v>0</v>
      </c>
      <c r="P20" s="19">
        <f>R7*O20</f>
        <v>0</v>
      </c>
      <c r="Q20" s="17"/>
      <c r="R20" s="18">
        <v>0</v>
      </c>
      <c r="S20" s="19">
        <f>R7*R20</f>
        <v>0</v>
      </c>
    </row>
    <row r="21" spans="1:19" ht="15.75">
      <c r="N21" s="20" t="s">
        <v>53</v>
      </c>
      <c r="O21" s="18">
        <v>0</v>
      </c>
      <c r="P21" s="19">
        <f>R7*O21</f>
        <v>0</v>
      </c>
      <c r="Q21" s="17"/>
      <c r="R21" s="18"/>
      <c r="S21" s="19">
        <f>R7*R21</f>
        <v>0</v>
      </c>
    </row>
    <row r="22" spans="1:19" ht="15.75">
      <c r="N22" s="13" t="s">
        <v>59</v>
      </c>
      <c r="O22" s="21">
        <f>P8-O12-O13-O14-O15-O16-O17-O18-O19-O20-O21</f>
        <v>2.2887700534759574</v>
      </c>
      <c r="P22" s="21">
        <f>Q8-P12-P13-P14-P15-P16-P17-P18-P19-P20-P21</f>
        <v>30.978236537743783</v>
      </c>
      <c r="Q22" s="13" t="s">
        <v>59</v>
      </c>
      <c r="R22" s="21">
        <f>P8-R12-R13-R14-R15-R16-R17-R18-R19-R20-R21</f>
        <v>296.28877005347596</v>
      </c>
      <c r="S22" s="21">
        <f>Q8-S12-S13-S14-S15-S16-S17-S18-S19-S20-S21</f>
        <v>4010.2340504912327</v>
      </c>
    </row>
    <row r="23" spans="1:19">
      <c r="N23" s="13" t="s">
        <v>60</v>
      </c>
      <c r="O23" s="16">
        <f>O12+O13+O14+O15+O16+O17+O18+O19+O20+O21</f>
        <v>347</v>
      </c>
      <c r="P23" s="16">
        <f>P12+P13+P14+P15+P16+P17+P18+P19+P20+P21</f>
        <v>4696.604651162791</v>
      </c>
      <c r="Q23" s="13" t="s">
        <v>60</v>
      </c>
      <c r="R23" s="16">
        <f>R12+R13+R14+R15+R16+R17+R18+R19+R20+R21</f>
        <v>53</v>
      </c>
      <c r="S23" s="16">
        <f>S12+S13+S14+S15+S16+S17+S18+S19+S20+S21</f>
        <v>717.34883720930236</v>
      </c>
    </row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O5:O6"/>
    <mergeCell ref="N10:P10"/>
    <mergeCell ref="Q10:S10"/>
    <mergeCell ref="Q5:Q6"/>
    <mergeCell ref="R5:R6"/>
    <mergeCell ref="S5:S6"/>
    <mergeCell ref="R7:R8"/>
    <mergeCell ref="S7:S8"/>
    <mergeCell ref="N9:S9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S23"/>
  <sheetViews>
    <sheetView workbookViewId="0">
      <selection activeCell="K10" sqref="K10"/>
    </sheetView>
  </sheetViews>
  <sheetFormatPr defaultRowHeight="15"/>
  <cols>
    <col min="1" max="1" width="10.140625" bestFit="1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434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133</v>
      </c>
      <c r="B4" s="2" t="s">
        <v>101</v>
      </c>
      <c r="C4" s="500">
        <f>AVERAGEA(I7:I50)</f>
        <v>0.86286898827344427</v>
      </c>
      <c r="D4" s="501"/>
      <c r="E4" s="500">
        <f>AVERAGEA(J7:J50)</f>
        <v>13.684456821313734</v>
      </c>
      <c r="F4" s="501"/>
      <c r="G4" s="500">
        <f>AVERAGEA(K7:K50)</f>
        <v>0</v>
      </c>
      <c r="H4" s="501"/>
      <c r="I4" s="3">
        <f>C4*K2</f>
        <v>374.48514091067483</v>
      </c>
      <c r="J4" s="3">
        <f>I4*E4</f>
        <v>5124.6257410157195</v>
      </c>
      <c r="K4" s="3">
        <f>K2*G4</f>
        <v>0</v>
      </c>
    </row>
    <row r="5" spans="1:19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  <c r="N6" s="492"/>
      <c r="O6" s="492"/>
      <c r="P6" s="492"/>
      <c r="Q6" s="492"/>
      <c r="R6" s="492"/>
      <c r="S6" s="492"/>
    </row>
    <row r="7" spans="1:19" ht="15.75">
      <c r="A7" s="28">
        <v>46114</v>
      </c>
      <c r="B7" s="29">
        <v>3640</v>
      </c>
      <c r="C7" s="29" t="s">
        <v>128</v>
      </c>
      <c r="D7" s="29">
        <v>325</v>
      </c>
      <c r="E7" s="29">
        <v>52</v>
      </c>
      <c r="F7" s="29">
        <v>311</v>
      </c>
      <c r="G7" s="29">
        <v>4341</v>
      </c>
      <c r="H7" s="29">
        <v>0</v>
      </c>
      <c r="I7" s="25">
        <f>F7/(D7+E7)</f>
        <v>0.82493368700265257</v>
      </c>
      <c r="J7" s="25">
        <f>G7/F7</f>
        <v>13.958199356913184</v>
      </c>
      <c r="K7" s="25">
        <f>H7/(D7+E7)</f>
        <v>0</v>
      </c>
      <c r="N7" s="13" t="s">
        <v>49</v>
      </c>
      <c r="O7" s="14">
        <f>K2</f>
        <v>434</v>
      </c>
      <c r="P7" s="15">
        <f>I4</f>
        <v>374.48514091067483</v>
      </c>
      <c r="Q7" s="15">
        <f>J4</f>
        <v>5124.6257410157195</v>
      </c>
      <c r="R7" s="493">
        <f>Q7/P7</f>
        <v>13.684456821313736</v>
      </c>
      <c r="S7" s="493">
        <f>P7/O7</f>
        <v>0.86286898827344427</v>
      </c>
    </row>
    <row r="8" spans="1:19" ht="15.75">
      <c r="A8" s="24">
        <v>46126</v>
      </c>
      <c r="B8" s="23">
        <v>3640</v>
      </c>
      <c r="C8" s="23" t="s">
        <v>128</v>
      </c>
      <c r="D8" s="23">
        <v>343</v>
      </c>
      <c r="E8" s="23">
        <v>30</v>
      </c>
      <c r="F8" s="23">
        <v>336</v>
      </c>
      <c r="G8" s="23">
        <v>4506</v>
      </c>
      <c r="H8" s="23">
        <v>0</v>
      </c>
      <c r="I8" s="25">
        <f>F8/(D8+E8)</f>
        <v>0.90080428954423597</v>
      </c>
      <c r="J8" s="25">
        <f>G8/F8</f>
        <v>13.410714285714286</v>
      </c>
      <c r="K8" s="25">
        <f>H8/(D8+E8)</f>
        <v>0</v>
      </c>
      <c r="N8" s="13" t="s">
        <v>50</v>
      </c>
      <c r="O8" s="14">
        <f>O7</f>
        <v>434</v>
      </c>
      <c r="P8" s="16">
        <f>O8*S7</f>
        <v>374.48514091067483</v>
      </c>
      <c r="Q8" s="16">
        <f>P8*R7</f>
        <v>5124.6257410157195</v>
      </c>
      <c r="R8" s="492"/>
      <c r="S8" s="492"/>
    </row>
    <row r="9" spans="1:19">
      <c r="A9" s="24"/>
      <c r="B9" s="23"/>
      <c r="C9" s="23"/>
      <c r="D9" s="23"/>
      <c r="E9" s="23"/>
      <c r="F9" s="23"/>
      <c r="G9" s="23"/>
      <c r="H9" s="23"/>
      <c r="I9" s="25"/>
      <c r="J9" s="25"/>
      <c r="K9" s="25"/>
      <c r="N9" s="494" t="s">
        <v>51</v>
      </c>
      <c r="O9" s="495"/>
      <c r="P9" s="495"/>
      <c r="Q9" s="495"/>
      <c r="R9" s="495"/>
      <c r="S9" s="496"/>
    </row>
    <row r="10" spans="1:19">
      <c r="A10" s="24"/>
      <c r="B10" s="23"/>
      <c r="C10" s="23"/>
      <c r="D10" s="23"/>
      <c r="E10" s="23"/>
      <c r="F10" s="23"/>
      <c r="G10" s="23"/>
      <c r="H10" s="23"/>
      <c r="I10" s="25"/>
      <c r="J10" s="25"/>
      <c r="K10" s="25"/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24"/>
      <c r="B11" s="23"/>
      <c r="C11" s="23"/>
      <c r="D11" s="23"/>
      <c r="E11" s="23"/>
      <c r="F11" s="23"/>
      <c r="G11" s="23"/>
      <c r="H11" s="23"/>
      <c r="I11" s="25"/>
      <c r="J11" s="25"/>
      <c r="K11" s="25"/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24"/>
      <c r="B12" s="23"/>
      <c r="C12" s="23"/>
      <c r="D12" s="23"/>
      <c r="E12" s="23"/>
      <c r="F12" s="23"/>
      <c r="G12" s="23"/>
      <c r="H12" s="23"/>
      <c r="I12" s="25"/>
      <c r="J12" s="25"/>
      <c r="K12" s="25"/>
      <c r="N12" s="17">
        <v>1</v>
      </c>
      <c r="O12" s="18">
        <v>44</v>
      </c>
      <c r="P12" s="19">
        <f>O12*R7</f>
        <v>602.11610013780444</v>
      </c>
      <c r="Q12" s="17">
        <v>3</v>
      </c>
      <c r="R12" s="18">
        <v>35</v>
      </c>
      <c r="S12" s="19">
        <f>R12*R7</f>
        <v>478.95598874598079</v>
      </c>
    </row>
    <row r="13" spans="1:19" ht="15.75">
      <c r="A13" s="24"/>
      <c r="B13" s="23"/>
      <c r="C13" s="23"/>
      <c r="D13" s="23"/>
      <c r="E13" s="23"/>
      <c r="F13" s="23"/>
      <c r="G13" s="23"/>
      <c r="H13" s="23"/>
      <c r="I13" s="25"/>
      <c r="J13" s="25"/>
      <c r="K13" s="25"/>
      <c r="N13" s="17">
        <v>2</v>
      </c>
      <c r="O13" s="18">
        <v>44</v>
      </c>
      <c r="P13" s="19">
        <f>O13*R7</f>
        <v>602.11610013780444</v>
      </c>
      <c r="Q13" s="17">
        <v>4</v>
      </c>
      <c r="R13" s="18">
        <v>18</v>
      </c>
      <c r="S13" s="19">
        <f>R7*R13</f>
        <v>246.32022278364724</v>
      </c>
    </row>
    <row r="14" spans="1:19" ht="15.75">
      <c r="A14" s="24"/>
      <c r="B14" s="23"/>
      <c r="C14" s="23"/>
      <c r="D14" s="23"/>
      <c r="E14" s="23"/>
      <c r="F14" s="23"/>
      <c r="G14" s="23"/>
      <c r="H14" s="23"/>
      <c r="I14" s="25"/>
      <c r="J14" s="25"/>
      <c r="K14" s="25"/>
      <c r="N14" s="17">
        <v>3</v>
      </c>
      <c r="O14" s="18">
        <v>44</v>
      </c>
      <c r="P14" s="19">
        <f>R7*O14</f>
        <v>602.11610013780444</v>
      </c>
      <c r="Q14" s="17">
        <v>5</v>
      </c>
      <c r="R14" s="18">
        <v>0</v>
      </c>
      <c r="S14" s="19">
        <f>R14*R7</f>
        <v>0</v>
      </c>
    </row>
    <row r="15" spans="1:19" ht="15.75">
      <c r="A15" s="24"/>
      <c r="B15" s="23"/>
      <c r="C15" s="23"/>
      <c r="D15" s="23"/>
      <c r="E15" s="23"/>
      <c r="F15" s="23"/>
      <c r="G15" s="23"/>
      <c r="H15" s="23"/>
      <c r="I15" s="25"/>
      <c r="J15" s="25"/>
      <c r="K15" s="25"/>
      <c r="N15" s="17">
        <v>4</v>
      </c>
      <c r="O15" s="18">
        <v>44</v>
      </c>
      <c r="P15" s="19">
        <f>R7*O15</f>
        <v>602.11610013780444</v>
      </c>
      <c r="Q15" s="17">
        <v>1</v>
      </c>
      <c r="R15" s="18">
        <v>0</v>
      </c>
      <c r="S15" s="19">
        <f>R7*R15</f>
        <v>0</v>
      </c>
    </row>
    <row r="16" spans="1:19" ht="15.75">
      <c r="A16" s="24"/>
      <c r="B16" s="23"/>
      <c r="C16" s="23"/>
      <c r="D16" s="23"/>
      <c r="E16" s="23"/>
      <c r="F16" s="23"/>
      <c r="G16" s="23"/>
      <c r="H16" s="23"/>
      <c r="I16" s="25"/>
      <c r="J16" s="25"/>
      <c r="K16" s="25"/>
      <c r="N16" s="17">
        <v>5</v>
      </c>
      <c r="O16" s="18">
        <v>44</v>
      </c>
      <c r="P16" s="19">
        <f>R7*O16</f>
        <v>602.11610013780444</v>
      </c>
      <c r="Q16" s="17"/>
      <c r="R16" s="18">
        <v>0</v>
      </c>
      <c r="S16" s="19">
        <f>R7*R16</f>
        <v>0</v>
      </c>
    </row>
    <row r="17" spans="1:19" ht="15.7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N17" s="17">
        <v>6</v>
      </c>
      <c r="O17" s="18">
        <v>44</v>
      </c>
      <c r="P17" s="19">
        <f>R7*O17</f>
        <v>602.11610013780444</v>
      </c>
      <c r="Q17" s="17"/>
      <c r="R17" s="18">
        <v>0</v>
      </c>
      <c r="S17" s="19">
        <f>R7*R17</f>
        <v>0</v>
      </c>
    </row>
    <row r="18" spans="1:19" ht="15.7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N18" s="17">
        <v>7</v>
      </c>
      <c r="O18" s="18">
        <v>43</v>
      </c>
      <c r="P18" s="19">
        <f>R7*O18</f>
        <v>588.43164331649064</v>
      </c>
      <c r="Q18" s="17"/>
      <c r="R18" s="18">
        <v>0</v>
      </c>
      <c r="S18" s="19">
        <f>R7*R18</f>
        <v>0</v>
      </c>
    </row>
    <row r="19" spans="1:19" ht="15.7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N19" s="17">
        <v>8</v>
      </c>
      <c r="O19" s="18">
        <v>40</v>
      </c>
      <c r="P19" s="19">
        <f>R7*O19</f>
        <v>547.37827285254946</v>
      </c>
      <c r="Q19" s="17"/>
      <c r="R19" s="18">
        <v>0</v>
      </c>
      <c r="S19" s="19">
        <f>R7*R19</f>
        <v>0</v>
      </c>
    </row>
    <row r="20" spans="1:19" ht="15.75">
      <c r="N20" s="17">
        <v>9</v>
      </c>
      <c r="O20" s="18">
        <v>0</v>
      </c>
      <c r="P20" s="19">
        <f>R7*O20</f>
        <v>0</v>
      </c>
      <c r="Q20" s="17"/>
      <c r="R20" s="18">
        <v>0</v>
      </c>
      <c r="S20" s="19">
        <f>R7*R20</f>
        <v>0</v>
      </c>
    </row>
    <row r="21" spans="1:19" ht="15.75">
      <c r="N21" s="20" t="s">
        <v>53</v>
      </c>
      <c r="O21" s="18">
        <v>0</v>
      </c>
      <c r="P21" s="19">
        <f>R7*O21</f>
        <v>0</v>
      </c>
      <c r="Q21" s="17"/>
      <c r="R21" s="18"/>
      <c r="S21" s="19">
        <f>R7*R21</f>
        <v>0</v>
      </c>
    </row>
    <row r="22" spans="1:19" ht="15.75">
      <c r="N22" s="13" t="s">
        <v>59</v>
      </c>
      <c r="O22" s="21">
        <f>P8-O12-O13-O14-O15-O16-O17-O18-O19-O20-O21</f>
        <v>27.485140910674829</v>
      </c>
      <c r="P22" s="21">
        <f>Q8-P12-P13-P14-P15-P16-P17-P18-P19-P20-P21</f>
        <v>376.1192240198526</v>
      </c>
      <c r="Q22" s="13" t="s">
        <v>59</v>
      </c>
      <c r="R22" s="21">
        <f>P8-R12-R13-R14-R15-R16-R17-R18-R19-R20-R21</f>
        <v>321.48514091067483</v>
      </c>
      <c r="S22" s="21">
        <f>Q8-S12-S13-S14-S15-S16-S17-S18-S19-S20-S21</f>
        <v>4399.3495294860913</v>
      </c>
    </row>
    <row r="23" spans="1:19">
      <c r="N23" s="13" t="s">
        <v>60</v>
      </c>
      <c r="O23" s="16">
        <f>O12+O13+O14+O15+O16+O17+O18+O19+O20+O21</f>
        <v>347</v>
      </c>
      <c r="P23" s="16">
        <f>P12+P13+P14+P15+P16+P17+P18+P19+P20+P21</f>
        <v>4748.5065169958671</v>
      </c>
      <c r="Q23" s="13" t="s">
        <v>60</v>
      </c>
      <c r="R23" s="16">
        <f>R12+R13+R14+R15+R16+R17+R18+R19+R20+R21</f>
        <v>53</v>
      </c>
      <c r="S23" s="16">
        <f>S12+S13+S14+S15+S16+S17+S18+S19+S20+S21</f>
        <v>725.27621152962797</v>
      </c>
    </row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O5:O6"/>
    <mergeCell ref="N10:P10"/>
    <mergeCell ref="Q10:S10"/>
    <mergeCell ref="Q5:Q6"/>
    <mergeCell ref="R5:R6"/>
    <mergeCell ref="S5:S6"/>
    <mergeCell ref="R7:R8"/>
    <mergeCell ref="S7:S8"/>
    <mergeCell ref="N9:S9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S23"/>
  <sheetViews>
    <sheetView workbookViewId="0">
      <selection activeCell="K9" sqref="K9"/>
    </sheetView>
  </sheetViews>
  <sheetFormatPr defaultRowHeight="15"/>
  <cols>
    <col min="1" max="1" width="10.140625" bestFit="1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434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133</v>
      </c>
      <c r="B4" s="2" t="s">
        <v>12</v>
      </c>
      <c r="C4" s="500">
        <f>AVERAGEA(I7:I50)</f>
        <v>0.81606269200136539</v>
      </c>
      <c r="D4" s="501"/>
      <c r="E4" s="500">
        <f>AVERAGEA(J7:J50)</f>
        <v>14.012407557816442</v>
      </c>
      <c r="F4" s="501"/>
      <c r="G4" s="500">
        <f>AVERAGEA(K7:K50)</f>
        <v>0</v>
      </c>
      <c r="H4" s="501"/>
      <c r="I4" s="3">
        <f>C4*K2</f>
        <v>354.17120832859257</v>
      </c>
      <c r="J4" s="3">
        <f>I4*E4</f>
        <v>4962.7913163445519</v>
      </c>
      <c r="K4" s="3">
        <f>K2*G4</f>
        <v>0</v>
      </c>
    </row>
    <row r="5" spans="1:19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  <c r="N6" s="492"/>
      <c r="O6" s="492"/>
      <c r="P6" s="492"/>
      <c r="Q6" s="492"/>
      <c r="R6" s="492"/>
      <c r="S6" s="492"/>
    </row>
    <row r="7" spans="1:19" ht="15.75">
      <c r="A7" s="28">
        <v>46031</v>
      </c>
      <c r="B7" s="29">
        <v>3686</v>
      </c>
      <c r="C7" s="29" t="s">
        <v>128</v>
      </c>
      <c r="D7" s="29">
        <v>344</v>
      </c>
      <c r="E7" s="29">
        <v>30</v>
      </c>
      <c r="F7" s="29">
        <v>314</v>
      </c>
      <c r="G7" s="29">
        <v>4506</v>
      </c>
      <c r="H7" s="29">
        <v>0</v>
      </c>
      <c r="I7" s="25">
        <f>F7/(D7+E7)</f>
        <v>0.83957219251336901</v>
      </c>
      <c r="J7" s="25">
        <f>G7/F7</f>
        <v>14.35031847133758</v>
      </c>
      <c r="K7" s="25">
        <f>H7/(D7+E7)</f>
        <v>0</v>
      </c>
      <c r="N7" s="13" t="s">
        <v>49</v>
      </c>
      <c r="O7" s="14">
        <f>K2</f>
        <v>434</v>
      </c>
      <c r="P7" s="15">
        <f>I4</f>
        <v>354.17120832859257</v>
      </c>
      <c r="Q7" s="15">
        <f>J4</f>
        <v>4962.7913163445519</v>
      </c>
      <c r="R7" s="493">
        <f>Q7/P7</f>
        <v>14.012407557816442</v>
      </c>
      <c r="S7" s="493">
        <f>P7/O7</f>
        <v>0.81606269200136539</v>
      </c>
    </row>
    <row r="8" spans="1:19" ht="15.75">
      <c r="A8" s="24">
        <v>46042</v>
      </c>
      <c r="B8" s="23">
        <v>3686</v>
      </c>
      <c r="C8" s="23" t="s">
        <v>128</v>
      </c>
      <c r="D8" s="23">
        <v>347</v>
      </c>
      <c r="E8" s="23">
        <v>29</v>
      </c>
      <c r="F8" s="23">
        <v>298</v>
      </c>
      <c r="G8" s="23">
        <v>4075</v>
      </c>
      <c r="H8" s="23">
        <v>0</v>
      </c>
      <c r="I8" s="25">
        <f>F8/(D8+E8)</f>
        <v>0.79255319148936165</v>
      </c>
      <c r="J8" s="25">
        <f>G8/F8</f>
        <v>13.674496644295303</v>
      </c>
      <c r="K8" s="25">
        <f>H8/(D8+E8)</f>
        <v>0</v>
      </c>
      <c r="N8" s="13" t="s">
        <v>50</v>
      </c>
      <c r="O8" s="14">
        <f>O7</f>
        <v>434</v>
      </c>
      <c r="P8" s="16">
        <f>O8*S7</f>
        <v>354.17120832859257</v>
      </c>
      <c r="Q8" s="16">
        <f>P8*R7</f>
        <v>4962.7913163445519</v>
      </c>
      <c r="R8" s="492"/>
      <c r="S8" s="492"/>
    </row>
    <row r="9" spans="1:19">
      <c r="A9" s="24"/>
      <c r="B9" s="23"/>
      <c r="C9" s="23"/>
      <c r="D9" s="23"/>
      <c r="E9" s="23"/>
      <c r="F9" s="23"/>
      <c r="G9" s="23"/>
      <c r="H9" s="23"/>
      <c r="I9" s="25"/>
      <c r="J9" s="25"/>
      <c r="K9" s="25"/>
      <c r="N9" s="494" t="s">
        <v>51</v>
      </c>
      <c r="O9" s="495"/>
      <c r="P9" s="495"/>
      <c r="Q9" s="495"/>
      <c r="R9" s="495"/>
      <c r="S9" s="496"/>
    </row>
    <row r="10" spans="1:19">
      <c r="A10" s="24"/>
      <c r="B10" s="23"/>
      <c r="C10" s="23"/>
      <c r="D10" s="23"/>
      <c r="E10" s="23"/>
      <c r="F10" s="23"/>
      <c r="G10" s="23"/>
      <c r="H10" s="23"/>
      <c r="I10" s="25"/>
      <c r="J10" s="25"/>
      <c r="K10" s="25"/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24"/>
      <c r="B11" s="23"/>
      <c r="C11" s="23"/>
      <c r="D11" s="23"/>
      <c r="E11" s="23"/>
      <c r="F11" s="23"/>
      <c r="G11" s="23"/>
      <c r="H11" s="23"/>
      <c r="I11" s="25"/>
      <c r="J11" s="25"/>
      <c r="K11" s="25"/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24"/>
      <c r="B12" s="23"/>
      <c r="C12" s="23"/>
      <c r="D12" s="23"/>
      <c r="E12" s="23"/>
      <c r="F12" s="23"/>
      <c r="G12" s="23"/>
      <c r="H12" s="23"/>
      <c r="I12" s="25"/>
      <c r="J12" s="25"/>
      <c r="K12" s="25"/>
      <c r="N12" s="17">
        <v>1</v>
      </c>
      <c r="O12" s="18">
        <v>44</v>
      </c>
      <c r="P12" s="19">
        <f>O12*R7</f>
        <v>616.54593254392341</v>
      </c>
      <c r="Q12" s="17">
        <v>3</v>
      </c>
      <c r="R12" s="18">
        <v>35</v>
      </c>
      <c r="S12" s="19">
        <f>R12*R7</f>
        <v>490.43426452357545</v>
      </c>
    </row>
    <row r="13" spans="1:19" ht="15.75">
      <c r="A13" s="24"/>
      <c r="B13" s="23"/>
      <c r="C13" s="23"/>
      <c r="D13" s="23"/>
      <c r="E13" s="23"/>
      <c r="F13" s="23"/>
      <c r="G13" s="23"/>
      <c r="H13" s="23"/>
      <c r="I13" s="25"/>
      <c r="J13" s="25"/>
      <c r="K13" s="25"/>
      <c r="N13" s="17">
        <v>2</v>
      </c>
      <c r="O13" s="18">
        <v>44</v>
      </c>
      <c r="P13" s="19">
        <f>O13*R7</f>
        <v>616.54593254392341</v>
      </c>
      <c r="Q13" s="17">
        <v>4</v>
      </c>
      <c r="R13" s="18">
        <v>18</v>
      </c>
      <c r="S13" s="19">
        <f>R7*R13</f>
        <v>252.22333604069595</v>
      </c>
    </row>
    <row r="14" spans="1:19" ht="15.75">
      <c r="A14" s="24"/>
      <c r="B14" s="23"/>
      <c r="C14" s="23"/>
      <c r="D14" s="23"/>
      <c r="E14" s="23"/>
      <c r="F14" s="23"/>
      <c r="G14" s="23"/>
      <c r="H14" s="23"/>
      <c r="I14" s="25"/>
      <c r="J14" s="25"/>
      <c r="K14" s="25"/>
      <c r="N14" s="17">
        <v>3</v>
      </c>
      <c r="O14" s="18">
        <v>44</v>
      </c>
      <c r="P14" s="19">
        <f>R7*O14</f>
        <v>616.54593254392341</v>
      </c>
      <c r="Q14" s="17">
        <v>5</v>
      </c>
      <c r="R14" s="18">
        <v>0</v>
      </c>
      <c r="S14" s="19">
        <f>R14*R7</f>
        <v>0</v>
      </c>
    </row>
    <row r="15" spans="1:19" ht="15.75">
      <c r="A15" s="24"/>
      <c r="B15" s="23"/>
      <c r="C15" s="23"/>
      <c r="D15" s="23"/>
      <c r="E15" s="23"/>
      <c r="F15" s="23"/>
      <c r="G15" s="23"/>
      <c r="H15" s="23"/>
      <c r="I15" s="25"/>
      <c r="J15" s="25"/>
      <c r="K15" s="25"/>
      <c r="N15" s="17">
        <v>4</v>
      </c>
      <c r="O15" s="18">
        <v>44</v>
      </c>
      <c r="P15" s="19">
        <f>R7*O15</f>
        <v>616.54593254392341</v>
      </c>
      <c r="Q15" s="17">
        <v>1</v>
      </c>
      <c r="R15" s="18">
        <v>0</v>
      </c>
      <c r="S15" s="19">
        <f>R7*R15</f>
        <v>0</v>
      </c>
    </row>
    <row r="16" spans="1:19" ht="15.75">
      <c r="A16" s="24"/>
      <c r="B16" s="23"/>
      <c r="C16" s="23"/>
      <c r="D16" s="23"/>
      <c r="E16" s="23"/>
      <c r="F16" s="23"/>
      <c r="G16" s="23"/>
      <c r="H16" s="23"/>
      <c r="I16" s="25"/>
      <c r="J16" s="25"/>
      <c r="K16" s="25"/>
      <c r="N16" s="17">
        <v>5</v>
      </c>
      <c r="O16" s="18">
        <v>44</v>
      </c>
      <c r="P16" s="19">
        <f>R7*O16</f>
        <v>616.54593254392341</v>
      </c>
      <c r="Q16" s="17"/>
      <c r="R16" s="18">
        <v>0</v>
      </c>
      <c r="S16" s="19">
        <f>R7*R16</f>
        <v>0</v>
      </c>
    </row>
    <row r="17" spans="1:19" ht="15.7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N17" s="17">
        <v>6</v>
      </c>
      <c r="O17" s="18">
        <v>44</v>
      </c>
      <c r="P17" s="19">
        <f>R7*O17</f>
        <v>616.54593254392341</v>
      </c>
      <c r="Q17" s="17"/>
      <c r="R17" s="18">
        <v>0</v>
      </c>
      <c r="S17" s="19">
        <f>R7*R17</f>
        <v>0</v>
      </c>
    </row>
    <row r="18" spans="1:19" ht="15.7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N18" s="17">
        <v>7</v>
      </c>
      <c r="O18" s="18">
        <v>43</v>
      </c>
      <c r="P18" s="19">
        <f>R7*O18</f>
        <v>602.53352498610695</v>
      </c>
      <c r="Q18" s="17"/>
      <c r="R18" s="18">
        <v>0</v>
      </c>
      <c r="S18" s="19">
        <f>R7*R18</f>
        <v>0</v>
      </c>
    </row>
    <row r="19" spans="1:19" ht="15.7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N19" s="17">
        <v>8</v>
      </c>
      <c r="O19" s="18">
        <v>40</v>
      </c>
      <c r="P19" s="19">
        <f>R7*O19</f>
        <v>560.49630231265769</v>
      </c>
      <c r="Q19" s="17"/>
      <c r="R19" s="18">
        <v>0</v>
      </c>
      <c r="S19" s="19">
        <f>R7*R19</f>
        <v>0</v>
      </c>
    </row>
    <row r="20" spans="1:19" ht="15.75">
      <c r="N20" s="17">
        <v>9</v>
      </c>
      <c r="O20" s="18">
        <v>0</v>
      </c>
      <c r="P20" s="19">
        <f>R7*O20</f>
        <v>0</v>
      </c>
      <c r="Q20" s="17"/>
      <c r="R20" s="18">
        <v>0</v>
      </c>
      <c r="S20" s="19">
        <f>R7*R20</f>
        <v>0</v>
      </c>
    </row>
    <row r="21" spans="1:19" ht="15.75">
      <c r="N21" s="20" t="s">
        <v>53</v>
      </c>
      <c r="O21" s="18">
        <v>0</v>
      </c>
      <c r="P21" s="19">
        <f>R7*O21</f>
        <v>0</v>
      </c>
      <c r="Q21" s="17"/>
      <c r="R21" s="18"/>
      <c r="S21" s="19">
        <f>R7*R21</f>
        <v>0</v>
      </c>
    </row>
    <row r="22" spans="1:19" ht="15.75">
      <c r="N22" s="13" t="s">
        <v>59</v>
      </c>
      <c r="O22" s="21">
        <f>P8-O12-O13-O14-O15-O16-O17-O18-O19-O20-O21</f>
        <v>7.1712083285925701</v>
      </c>
      <c r="P22" s="21">
        <f>Q8-P12-P13-P14-P15-P16-P17-P18-P19-P20-P21</f>
        <v>100.48589378224744</v>
      </c>
      <c r="Q22" s="13" t="s">
        <v>59</v>
      </c>
      <c r="R22" s="21">
        <f>P8-R12-R13-R14-R15-R16-R17-R18-R19-R20-R21</f>
        <v>301.17120832859257</v>
      </c>
      <c r="S22" s="21">
        <f>Q8-S12-S13-S14-S15-S16-S17-S18-S19-S20-S21</f>
        <v>4220.13371578028</v>
      </c>
    </row>
    <row r="23" spans="1:19">
      <c r="N23" s="13" t="s">
        <v>60</v>
      </c>
      <c r="O23" s="16">
        <f>O12+O13+O14+O15+O16+O17+O18+O19+O20+O21</f>
        <v>347</v>
      </c>
      <c r="P23" s="16">
        <f>P12+P13+P14+P15+P16+P17+P18+P19+P20+P21</f>
        <v>4862.3054225623046</v>
      </c>
      <c r="Q23" s="13" t="s">
        <v>60</v>
      </c>
      <c r="R23" s="16">
        <f>R12+R13+R14+R15+R16+R17+R18+R19+R20+R21</f>
        <v>53</v>
      </c>
      <c r="S23" s="16">
        <f>S12+S13+S14+S15+S16+S17+S18+S19+S20+S21</f>
        <v>742.65760056427143</v>
      </c>
    </row>
  </sheetData>
  <sheetProtection password="CC6F" sheet="1" objects="1" scenarios="1"/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K27"/>
  <sheetViews>
    <sheetView workbookViewId="0">
      <selection activeCell="A8" sqref="A8:K9"/>
    </sheetView>
  </sheetViews>
  <sheetFormatPr defaultRowHeight="15"/>
  <cols>
    <col min="1" max="1" width="10.140625" bestFit="1" customWidth="1"/>
  </cols>
  <sheetData>
    <row r="1" spans="1:11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1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200</v>
      </c>
    </row>
    <row r="3" spans="1:11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1">
      <c r="A4" s="73" t="s">
        <v>133</v>
      </c>
      <c r="B4" s="73" t="s">
        <v>70</v>
      </c>
      <c r="C4" s="510">
        <f>AVERAGEA(I7:I44)</f>
        <v>0.79947229551451182</v>
      </c>
      <c r="D4" s="511"/>
      <c r="E4" s="510">
        <f>AVERAGEA(J7:J44)</f>
        <v>13.267326732673267</v>
      </c>
      <c r="F4" s="511"/>
      <c r="G4" s="510">
        <f>AVERAGEA(K7:K44)</f>
        <v>0</v>
      </c>
      <c r="H4" s="511"/>
      <c r="I4" s="74">
        <f>C4*K2</f>
        <v>159.89445910290237</v>
      </c>
      <c r="J4" s="74">
        <f>I4*E4</f>
        <v>2121.3720316622689</v>
      </c>
      <c r="K4" s="74">
        <f>K2*G4</f>
        <v>0</v>
      </c>
    </row>
    <row r="5" spans="1:1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</row>
    <row r="6" spans="1:11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</row>
    <row r="7" spans="1:11">
      <c r="A7" s="77">
        <v>46122</v>
      </c>
      <c r="B7" s="78">
        <v>5582</v>
      </c>
      <c r="C7" s="78" t="s">
        <v>128</v>
      </c>
      <c r="D7" s="78">
        <v>323</v>
      </c>
      <c r="E7" s="78">
        <v>56</v>
      </c>
      <c r="F7" s="78">
        <v>303</v>
      </c>
      <c r="G7" s="78">
        <v>4020</v>
      </c>
      <c r="H7" s="78">
        <v>0</v>
      </c>
      <c r="I7" s="79">
        <f>F7/(D7+E7)</f>
        <v>0.79947229551451182</v>
      </c>
      <c r="J7" s="79">
        <f>G7/F7</f>
        <v>13.267326732673267</v>
      </c>
      <c r="K7" s="79">
        <f>H7/(D7+E7)</f>
        <v>0</v>
      </c>
    </row>
    <row r="8" spans="1:11">
      <c r="A8" s="80"/>
      <c r="B8" s="256"/>
      <c r="C8" s="327"/>
      <c r="D8" s="81"/>
      <c r="E8" s="81"/>
      <c r="F8" s="81"/>
      <c r="G8" s="81"/>
      <c r="H8" s="81"/>
      <c r="I8" s="79"/>
      <c r="J8" s="79"/>
      <c r="K8" s="79"/>
    </row>
    <row r="9" spans="1:11">
      <c r="A9" s="80"/>
      <c r="B9" s="258"/>
      <c r="C9" s="333"/>
      <c r="D9" s="81"/>
      <c r="E9" s="81"/>
      <c r="F9" s="81"/>
      <c r="G9" s="81"/>
      <c r="H9" s="81"/>
      <c r="I9" s="79"/>
      <c r="J9" s="79"/>
      <c r="K9" s="79"/>
    </row>
    <row r="10" spans="1:11">
      <c r="A10" s="80"/>
      <c r="B10" s="259"/>
      <c r="C10" s="259"/>
      <c r="D10" s="81"/>
      <c r="E10" s="81"/>
      <c r="F10" s="81"/>
      <c r="G10" s="81"/>
      <c r="H10" s="81"/>
      <c r="I10" s="79"/>
      <c r="J10" s="79"/>
      <c r="K10" s="79"/>
    </row>
    <row r="11" spans="1:11">
      <c r="A11" s="80"/>
      <c r="B11" s="261"/>
      <c r="C11" s="261"/>
      <c r="D11" s="81"/>
      <c r="E11" s="81"/>
      <c r="F11" s="81"/>
      <c r="G11" s="81"/>
      <c r="H11" s="81"/>
      <c r="I11" s="79"/>
      <c r="J11" s="79"/>
      <c r="K11" s="79"/>
    </row>
    <row r="12" spans="1:11">
      <c r="A12" s="80"/>
      <c r="B12" s="264"/>
      <c r="C12" s="264"/>
      <c r="D12" s="81"/>
      <c r="E12" s="81"/>
      <c r="F12" s="81"/>
      <c r="G12" s="81"/>
      <c r="H12" s="81"/>
      <c r="I12" s="79"/>
      <c r="J12" s="79"/>
      <c r="K12" s="79"/>
    </row>
    <row r="13" spans="1:11">
      <c r="A13" s="80"/>
      <c r="B13" s="266"/>
      <c r="C13" s="266"/>
      <c r="D13" s="81"/>
      <c r="E13" s="81"/>
      <c r="F13" s="81"/>
      <c r="G13" s="81"/>
      <c r="H13" s="81"/>
      <c r="I13" s="79"/>
      <c r="J13" s="79"/>
      <c r="K13" s="79"/>
    </row>
    <row r="14" spans="1:11">
      <c r="A14" s="80"/>
      <c r="B14" s="269"/>
      <c r="C14" s="269"/>
      <c r="D14" s="81"/>
      <c r="E14" s="81"/>
      <c r="F14" s="81"/>
      <c r="G14" s="81"/>
      <c r="H14" s="81"/>
      <c r="I14" s="79"/>
      <c r="J14" s="79"/>
      <c r="K14" s="79"/>
    </row>
    <row r="15" spans="1:11">
      <c r="A15" s="80"/>
      <c r="B15" s="241"/>
      <c r="C15" s="241"/>
      <c r="D15" s="81"/>
      <c r="E15" s="81"/>
      <c r="F15" s="81"/>
      <c r="G15" s="81"/>
      <c r="H15" s="81"/>
      <c r="I15" s="79"/>
      <c r="J15" s="79"/>
      <c r="K15" s="79"/>
    </row>
    <row r="16" spans="1:11">
      <c r="A16" s="80"/>
      <c r="B16" s="153"/>
      <c r="C16" s="170"/>
      <c r="D16" s="81"/>
      <c r="E16" s="81"/>
      <c r="F16" s="81"/>
      <c r="G16" s="81"/>
      <c r="H16" s="81"/>
      <c r="I16" s="79"/>
      <c r="J16" s="79"/>
      <c r="K16" s="79"/>
    </row>
    <row r="17" spans="1:11">
      <c r="A17" s="80"/>
      <c r="B17" s="81"/>
      <c r="C17" s="155"/>
      <c r="D17" s="81"/>
      <c r="E17" s="81"/>
      <c r="F17" s="81"/>
      <c r="G17" s="81"/>
      <c r="H17" s="81"/>
      <c r="I17" s="79"/>
      <c r="J17" s="79"/>
      <c r="K17" s="79"/>
    </row>
    <row r="18" spans="1:11">
      <c r="A18" s="80"/>
      <c r="B18" s="138"/>
      <c r="C18" s="155"/>
      <c r="D18" s="81"/>
      <c r="E18" s="81"/>
      <c r="F18" s="81"/>
      <c r="G18" s="81"/>
      <c r="H18" s="81"/>
      <c r="I18" s="79"/>
      <c r="J18" s="79"/>
      <c r="K18" s="79"/>
    </row>
    <row r="19" spans="1:11">
      <c r="A19" s="80"/>
      <c r="B19" s="81"/>
      <c r="C19" s="155"/>
      <c r="D19" s="81"/>
      <c r="E19" s="81"/>
      <c r="F19" s="81"/>
      <c r="G19" s="81"/>
      <c r="H19" s="81"/>
      <c r="I19" s="79"/>
      <c r="J19" s="79"/>
      <c r="K19" s="79"/>
    </row>
    <row r="20" spans="1:11">
      <c r="A20" s="80"/>
      <c r="B20" s="81"/>
      <c r="C20" s="157"/>
      <c r="D20" s="81"/>
      <c r="E20" s="81"/>
      <c r="F20" s="81"/>
      <c r="G20" s="81"/>
      <c r="H20" s="81"/>
      <c r="I20" s="79"/>
      <c r="J20" s="79"/>
      <c r="K20" s="79"/>
    </row>
    <row r="21" spans="1:11">
      <c r="A21" s="80"/>
      <c r="B21" s="157"/>
      <c r="C21" s="157"/>
      <c r="D21" s="81"/>
      <c r="E21" s="81"/>
      <c r="F21" s="81"/>
      <c r="G21" s="81"/>
      <c r="H21" s="81"/>
      <c r="I21" s="79"/>
      <c r="J21" s="79"/>
      <c r="K21" s="79"/>
    </row>
    <row r="22" spans="1:11">
      <c r="A22" s="80"/>
      <c r="B22" s="145"/>
      <c r="C22" s="158"/>
      <c r="D22" s="81"/>
      <c r="E22" s="81"/>
      <c r="F22" s="81"/>
      <c r="G22" s="81"/>
      <c r="H22" s="81"/>
      <c r="I22" s="79"/>
      <c r="J22" s="79"/>
      <c r="K22" s="79"/>
    </row>
    <row r="23" spans="1:11">
      <c r="A23" s="80"/>
      <c r="B23" s="130"/>
      <c r="C23" s="146"/>
      <c r="D23" s="81"/>
      <c r="E23" s="81"/>
      <c r="F23" s="81"/>
      <c r="G23" s="81"/>
      <c r="H23" s="81"/>
      <c r="I23" s="79"/>
      <c r="J23" s="79"/>
      <c r="K23" s="79"/>
    </row>
    <row r="24" spans="1:11">
      <c r="A24" s="80"/>
      <c r="B24" s="81"/>
      <c r="C24" s="148"/>
      <c r="D24" s="81"/>
      <c r="E24" s="81"/>
      <c r="F24" s="81"/>
      <c r="G24" s="81"/>
      <c r="H24" s="81"/>
      <c r="I24" s="79"/>
      <c r="J24" s="79"/>
      <c r="K24" s="79"/>
    </row>
    <row r="25" spans="1:1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</row>
    <row r="26" spans="1:1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</row>
    <row r="27" spans="1:1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</row>
  </sheetData>
  <sheetProtection password="CC6F" sheet="1" objects="1" scenarios="1"/>
  <mergeCells count="23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A5:A6"/>
    <mergeCell ref="B5:B6"/>
    <mergeCell ref="C5:C6"/>
    <mergeCell ref="D5:D6"/>
    <mergeCell ref="E5:E6"/>
    <mergeCell ref="I5:I6"/>
    <mergeCell ref="J5:J6"/>
    <mergeCell ref="K5:K6"/>
    <mergeCell ref="C4:D4"/>
    <mergeCell ref="E4:F4"/>
    <mergeCell ref="G4:H4"/>
    <mergeCell ref="F5:G5"/>
    <mergeCell ref="H5:H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sheetPr codeName="Лист27"/>
  <dimension ref="A1:S31"/>
  <sheetViews>
    <sheetView workbookViewId="0">
      <selection activeCell="K7" sqref="K7:K8"/>
    </sheetView>
  </sheetViews>
  <sheetFormatPr defaultRowHeight="15"/>
  <cols>
    <col min="1" max="1" width="10.140625" bestFit="1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150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67</v>
      </c>
      <c r="B4" s="2" t="s">
        <v>38</v>
      </c>
      <c r="C4" s="500">
        <f>AVERAGEA(I7:I50)</f>
        <v>0.75895164267257287</v>
      </c>
      <c r="D4" s="501"/>
      <c r="E4" s="500">
        <f>AVERAGEA(J7:J50)</f>
        <v>12.057066039919519</v>
      </c>
      <c r="F4" s="501"/>
      <c r="G4" s="500">
        <f>AVERAGEA(K7:K50)</f>
        <v>3</v>
      </c>
      <c r="H4" s="501"/>
      <c r="I4" s="3">
        <f>C4*K2</f>
        <v>113.84274640088593</v>
      </c>
      <c r="J4" s="3">
        <f>I4*E4</f>
        <v>1372.6095115212918</v>
      </c>
      <c r="K4" s="3">
        <f>K2*G4</f>
        <v>450</v>
      </c>
    </row>
    <row r="5" spans="1:19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  <c r="N6" s="492"/>
      <c r="O6" s="492"/>
      <c r="P6" s="492"/>
      <c r="Q6" s="492"/>
      <c r="R6" s="492"/>
      <c r="S6" s="492"/>
    </row>
    <row r="7" spans="1:19" ht="15.75">
      <c r="A7" s="28">
        <v>46025</v>
      </c>
      <c r="B7" s="29">
        <v>3356</v>
      </c>
      <c r="C7" s="29" t="s">
        <v>128</v>
      </c>
      <c r="D7" s="29">
        <v>208</v>
      </c>
      <c r="E7" s="29">
        <v>50</v>
      </c>
      <c r="F7" s="29">
        <v>193</v>
      </c>
      <c r="G7" s="29">
        <v>2279</v>
      </c>
      <c r="H7" s="29">
        <v>774</v>
      </c>
      <c r="I7" s="25">
        <f>F7/(D7+E7)</f>
        <v>0.74806201550387597</v>
      </c>
      <c r="J7" s="25">
        <f>G7/F7</f>
        <v>11.808290155440414</v>
      </c>
      <c r="K7" s="25">
        <f>H7/(D7+E7)</f>
        <v>3</v>
      </c>
      <c r="N7" s="13" t="s">
        <v>49</v>
      </c>
      <c r="O7" s="14">
        <f>K2</f>
        <v>150</v>
      </c>
      <c r="P7" s="15">
        <f>I4</f>
        <v>113.84274640088593</v>
      </c>
      <c r="Q7" s="15">
        <f>J4</f>
        <v>1372.6095115212918</v>
      </c>
      <c r="R7" s="493">
        <f>Q7/P7</f>
        <v>12.057066039919519</v>
      </c>
      <c r="S7" s="493">
        <f>P7/O7</f>
        <v>0.75895164267257287</v>
      </c>
    </row>
    <row r="8" spans="1:19" ht="15.75">
      <c r="A8" s="24">
        <v>46036</v>
      </c>
      <c r="B8" s="23">
        <v>3356</v>
      </c>
      <c r="C8" s="23" t="s">
        <v>128</v>
      </c>
      <c r="D8" s="23">
        <v>316</v>
      </c>
      <c r="E8" s="23">
        <v>62</v>
      </c>
      <c r="F8" s="23">
        <v>291</v>
      </c>
      <c r="G8" s="23">
        <v>3581</v>
      </c>
      <c r="H8" s="23">
        <v>1134</v>
      </c>
      <c r="I8" s="25">
        <f>F8/(D8+E8)</f>
        <v>0.76984126984126988</v>
      </c>
      <c r="J8" s="25">
        <f>G8/F8</f>
        <v>12.305841924398626</v>
      </c>
      <c r="K8" s="25">
        <f>H8/(D8+E8)</f>
        <v>3</v>
      </c>
      <c r="N8" s="13" t="s">
        <v>50</v>
      </c>
      <c r="O8" s="14">
        <f>O7</f>
        <v>150</v>
      </c>
      <c r="P8" s="16">
        <f>O8*S7</f>
        <v>113.84274640088593</v>
      </c>
      <c r="Q8" s="16">
        <f>P8*R7</f>
        <v>1372.6095115212918</v>
      </c>
      <c r="R8" s="492"/>
      <c r="S8" s="492"/>
    </row>
    <row r="9" spans="1:19">
      <c r="A9" s="24"/>
      <c r="B9" s="23"/>
      <c r="C9" s="23"/>
      <c r="D9" s="23"/>
      <c r="E9" s="23"/>
      <c r="F9" s="23"/>
      <c r="G9" s="23"/>
      <c r="H9" s="23"/>
      <c r="I9" s="25"/>
      <c r="J9" s="25"/>
      <c r="K9" s="25"/>
      <c r="N9" s="494" t="s">
        <v>51</v>
      </c>
      <c r="O9" s="495"/>
      <c r="P9" s="495"/>
      <c r="Q9" s="495"/>
      <c r="R9" s="495"/>
      <c r="S9" s="496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N12" s="17">
        <v>1</v>
      </c>
      <c r="O12" s="18">
        <v>44</v>
      </c>
      <c r="P12" s="19">
        <f>O12*R7</f>
        <v>530.5109057564589</v>
      </c>
      <c r="Q12" s="17">
        <v>3</v>
      </c>
      <c r="R12" s="18">
        <v>35</v>
      </c>
      <c r="S12" s="19">
        <f>R12*R7</f>
        <v>421.99731139718318</v>
      </c>
    </row>
    <row r="13" spans="1:19" ht="15.7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N13" s="17">
        <v>2</v>
      </c>
      <c r="O13" s="18">
        <v>44</v>
      </c>
      <c r="P13" s="19">
        <f>O13*R7</f>
        <v>530.5109057564589</v>
      </c>
      <c r="Q13" s="17">
        <v>4</v>
      </c>
      <c r="R13" s="18">
        <v>18</v>
      </c>
      <c r="S13" s="19">
        <f>R7*R13</f>
        <v>217.02718871855134</v>
      </c>
    </row>
    <row r="14" spans="1:19" ht="15.7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N14" s="17">
        <v>3</v>
      </c>
      <c r="O14" s="18">
        <v>44</v>
      </c>
      <c r="P14" s="19">
        <f>R7*O14</f>
        <v>530.5109057564589</v>
      </c>
      <c r="Q14" s="17">
        <v>5</v>
      </c>
      <c r="R14" s="18">
        <v>0</v>
      </c>
      <c r="S14" s="19">
        <f>R14*R7</f>
        <v>0</v>
      </c>
    </row>
    <row r="15" spans="1:19" ht="15.7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N15" s="17">
        <v>4</v>
      </c>
      <c r="O15" s="18">
        <v>44</v>
      </c>
      <c r="P15" s="19">
        <f>R7*O15</f>
        <v>530.5109057564589</v>
      </c>
      <c r="Q15" s="17">
        <v>1</v>
      </c>
      <c r="R15" s="18">
        <v>0</v>
      </c>
      <c r="S15" s="19">
        <f>R7*R15</f>
        <v>0</v>
      </c>
    </row>
    <row r="16" spans="1:19" ht="15.7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N16" s="17">
        <v>5</v>
      </c>
      <c r="O16" s="18">
        <v>44</v>
      </c>
      <c r="P16" s="19">
        <f>R7*O16</f>
        <v>530.5109057564589</v>
      </c>
      <c r="Q16" s="17"/>
      <c r="R16" s="18">
        <v>0</v>
      </c>
      <c r="S16" s="19">
        <f>R7*R16</f>
        <v>0</v>
      </c>
    </row>
    <row r="17" spans="1:19" ht="15.7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N17" s="17">
        <v>6</v>
      </c>
      <c r="O17" s="18">
        <v>44</v>
      </c>
      <c r="P17" s="19">
        <f>R7*O17</f>
        <v>530.5109057564589</v>
      </c>
      <c r="Q17" s="17"/>
      <c r="R17" s="18">
        <v>0</v>
      </c>
      <c r="S17" s="19">
        <f>R7*R17</f>
        <v>0</v>
      </c>
    </row>
    <row r="18" spans="1:19" ht="15.7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N18" s="17">
        <v>7</v>
      </c>
      <c r="O18" s="18">
        <v>43</v>
      </c>
      <c r="P18" s="19">
        <f>R7*O18</f>
        <v>518.45383971653928</v>
      </c>
      <c r="Q18" s="17"/>
      <c r="R18" s="18">
        <v>0</v>
      </c>
      <c r="S18" s="19">
        <f>R7*R18</f>
        <v>0</v>
      </c>
    </row>
    <row r="19" spans="1:19" ht="15.7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N19" s="17">
        <v>8</v>
      </c>
      <c r="O19" s="18">
        <v>40</v>
      </c>
      <c r="P19" s="19">
        <f>R7*O19</f>
        <v>482.28264159678076</v>
      </c>
      <c r="Q19" s="17"/>
      <c r="R19" s="18">
        <v>0</v>
      </c>
      <c r="S19" s="19">
        <f>R7*R19</f>
        <v>0</v>
      </c>
    </row>
    <row r="20" spans="1:19" ht="15.7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N20" s="17">
        <v>9</v>
      </c>
      <c r="O20" s="18">
        <v>0</v>
      </c>
      <c r="P20" s="19">
        <f>R7*O20</f>
        <v>0</v>
      </c>
      <c r="Q20" s="17"/>
      <c r="R20" s="18">
        <v>0</v>
      </c>
      <c r="S20" s="19">
        <f>R7*R20</f>
        <v>0</v>
      </c>
    </row>
    <row r="21" spans="1:19" ht="15.7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N21" s="20" t="s">
        <v>53</v>
      </c>
      <c r="O21" s="18">
        <v>0</v>
      </c>
      <c r="P21" s="19">
        <f>R7*O21</f>
        <v>0</v>
      </c>
      <c r="Q21" s="17"/>
      <c r="R21" s="18"/>
      <c r="S21" s="19">
        <f>R7*R21</f>
        <v>0</v>
      </c>
    </row>
    <row r="22" spans="1:19" ht="15.7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N22" s="13" t="s">
        <v>59</v>
      </c>
      <c r="O22" s="21">
        <f>P8-O12-O13-O14-O15-O16-O17-O18-O19-O20-O21</f>
        <v>-233.15725359911409</v>
      </c>
      <c r="P22" s="21">
        <f>Q8-P12-P13-P14-P15-P16-P17-P18-P19-P20-P21</f>
        <v>-2811.1924043307813</v>
      </c>
      <c r="Q22" s="13" t="s">
        <v>59</v>
      </c>
      <c r="R22" s="21">
        <f>P8-R12-R13-R14-R15-R16-R17-R18-R19-R20-R21</f>
        <v>60.842746400885929</v>
      </c>
      <c r="S22" s="21">
        <f>Q8-S12-S13-S14-S15-S16-S17-S18-S19-S20-S21</f>
        <v>733.58501140555722</v>
      </c>
    </row>
    <row r="23" spans="1:19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N23" s="13" t="s">
        <v>60</v>
      </c>
      <c r="O23" s="16">
        <f>O12+O13+O14+O15+O16+O17+O18+O19+O20+O21</f>
        <v>347</v>
      </c>
      <c r="P23" s="16">
        <f>P12+P13+P14+P15+P16+P17+P18+P19+P20+P21</f>
        <v>4183.8019158520729</v>
      </c>
      <c r="Q23" s="13" t="s">
        <v>60</v>
      </c>
      <c r="R23" s="16">
        <f>R12+R13+R14+R15+R16+R17+R18+R19+R20+R21</f>
        <v>53</v>
      </c>
      <c r="S23" s="16">
        <f>S12+S13+S14+S15+S16+S17+S18+S19+S20+S21</f>
        <v>639.02450011573455</v>
      </c>
    </row>
    <row r="24" spans="1:19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9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</row>
    <row r="26" spans="1:19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spans="1:19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spans="1:19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1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spans="1:19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spans="1:19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</row>
  </sheetData>
  <sheetProtection password="CC6F" sheet="1" objects="1" scenarios="1"/>
  <mergeCells count="34">
    <mergeCell ref="S5:S6"/>
    <mergeCell ref="R7:R8"/>
    <mergeCell ref="S7:S8"/>
    <mergeCell ref="N9:S9"/>
    <mergeCell ref="N10:P10"/>
    <mergeCell ref="Q10:S10"/>
    <mergeCell ref="N5:N6"/>
    <mergeCell ref="O5:O6"/>
    <mergeCell ref="P5:P6"/>
    <mergeCell ref="Q5:Q6"/>
    <mergeCell ref="R5:R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A5:A6"/>
    <mergeCell ref="B5:B6"/>
    <mergeCell ref="C5:C6"/>
    <mergeCell ref="D5:D6"/>
    <mergeCell ref="E5:E6"/>
    <mergeCell ref="I5:I6"/>
    <mergeCell ref="J5:J6"/>
    <mergeCell ref="K5:K6"/>
    <mergeCell ref="C4:D4"/>
    <mergeCell ref="E4:F4"/>
    <mergeCell ref="G4:H4"/>
    <mergeCell ref="F5:G5"/>
    <mergeCell ref="H5:H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S31"/>
  <sheetViews>
    <sheetView workbookViewId="0">
      <selection activeCell="K9" sqref="K9"/>
    </sheetView>
  </sheetViews>
  <sheetFormatPr defaultRowHeight="15"/>
  <cols>
    <col min="1" max="1" width="10.140625" bestFit="1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150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67</v>
      </c>
      <c r="B4" s="2" t="s">
        <v>29</v>
      </c>
      <c r="C4" s="500">
        <f>AVERAGEA(I7:I50)</f>
        <v>0.75498933363274012</v>
      </c>
      <c r="D4" s="501"/>
      <c r="E4" s="500">
        <f>AVERAGEA(J7:J50)</f>
        <v>12.283093666896484</v>
      </c>
      <c r="F4" s="501"/>
      <c r="G4" s="500">
        <f>AVERAGEA(K7:K50)</f>
        <v>3</v>
      </c>
      <c r="H4" s="501"/>
      <c r="I4" s="3">
        <f>C4*K2</f>
        <v>113.24840004491102</v>
      </c>
      <c r="J4" s="3">
        <f>I4*E4</f>
        <v>1391.040705377806</v>
      </c>
      <c r="K4" s="3">
        <f>K2*G4</f>
        <v>450</v>
      </c>
    </row>
    <row r="5" spans="1:19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  <c r="N6" s="492"/>
      <c r="O6" s="492"/>
      <c r="P6" s="492"/>
      <c r="Q6" s="492"/>
      <c r="R6" s="492"/>
      <c r="S6" s="492"/>
    </row>
    <row r="7" spans="1:19" ht="15.75">
      <c r="A7" s="28">
        <v>46032</v>
      </c>
      <c r="B7" s="29">
        <v>3354</v>
      </c>
      <c r="C7" s="29" t="s">
        <v>128</v>
      </c>
      <c r="D7" s="29">
        <v>316</v>
      </c>
      <c r="E7" s="29">
        <v>63</v>
      </c>
      <c r="F7" s="29">
        <v>284</v>
      </c>
      <c r="G7" s="29">
        <v>3540</v>
      </c>
      <c r="H7" s="29">
        <v>1137</v>
      </c>
      <c r="I7" s="25">
        <f>F7/(D7+E7)</f>
        <v>0.74934036939313986</v>
      </c>
      <c r="J7" s="25">
        <f>G7/F7</f>
        <v>12.464788732394366</v>
      </c>
      <c r="K7" s="25">
        <f>H7/(D7+E7)</f>
        <v>3</v>
      </c>
      <c r="N7" s="13" t="s">
        <v>49</v>
      </c>
      <c r="O7" s="14">
        <f>K2</f>
        <v>150</v>
      </c>
      <c r="P7" s="15">
        <f>I4</f>
        <v>113.24840004491102</v>
      </c>
      <c r="Q7" s="15">
        <f>J4</f>
        <v>1391.040705377806</v>
      </c>
      <c r="R7" s="493">
        <f>Q7/P7</f>
        <v>12.283093666896484</v>
      </c>
      <c r="S7" s="493">
        <f>P7/O7</f>
        <v>0.75498933363274012</v>
      </c>
    </row>
    <row r="8" spans="1:19" ht="15.75">
      <c r="A8" s="24">
        <v>46043</v>
      </c>
      <c r="B8" s="23">
        <v>3354</v>
      </c>
      <c r="C8" s="23" t="s">
        <v>128</v>
      </c>
      <c r="D8" s="23">
        <v>311</v>
      </c>
      <c r="E8" s="23">
        <v>65</v>
      </c>
      <c r="F8" s="23">
        <v>286</v>
      </c>
      <c r="G8" s="23">
        <v>3461</v>
      </c>
      <c r="H8" s="23">
        <v>1128</v>
      </c>
      <c r="I8" s="25">
        <f>F8/(D8+E8)</f>
        <v>0.76063829787234039</v>
      </c>
      <c r="J8" s="25">
        <f>G8/F8</f>
        <v>12.101398601398602</v>
      </c>
      <c r="K8" s="25">
        <f>H8/(D8+E8)</f>
        <v>3</v>
      </c>
      <c r="N8" s="13" t="s">
        <v>50</v>
      </c>
      <c r="O8" s="14">
        <f>O7</f>
        <v>150</v>
      </c>
      <c r="P8" s="16">
        <f>O8*S7</f>
        <v>113.24840004491102</v>
      </c>
      <c r="Q8" s="16">
        <f>P8*R7</f>
        <v>1391.040705377806</v>
      </c>
      <c r="R8" s="492"/>
      <c r="S8" s="492"/>
    </row>
    <row r="9" spans="1:19">
      <c r="A9" s="24"/>
      <c r="B9" s="23"/>
      <c r="C9" s="23"/>
      <c r="D9" s="23"/>
      <c r="E9" s="23"/>
      <c r="F9" s="23"/>
      <c r="G9" s="23"/>
      <c r="H9" s="23"/>
      <c r="I9" s="25"/>
      <c r="J9" s="25"/>
      <c r="K9" s="25"/>
      <c r="N9" s="494" t="s">
        <v>51</v>
      </c>
      <c r="O9" s="495"/>
      <c r="P9" s="495"/>
      <c r="Q9" s="495"/>
      <c r="R9" s="495"/>
      <c r="S9" s="496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N12" s="17">
        <v>1</v>
      </c>
      <c r="O12" s="18">
        <v>44</v>
      </c>
      <c r="P12" s="19">
        <f>O12*R7</f>
        <v>540.45612134344526</v>
      </c>
      <c r="Q12" s="17">
        <v>3</v>
      </c>
      <c r="R12" s="18">
        <v>35</v>
      </c>
      <c r="S12" s="19">
        <f>R12*R7</f>
        <v>429.90827834137696</v>
      </c>
    </row>
    <row r="13" spans="1:19" ht="15.7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N13" s="17">
        <v>2</v>
      </c>
      <c r="O13" s="18">
        <v>44</v>
      </c>
      <c r="P13" s="19">
        <f>O13*R7</f>
        <v>540.45612134344526</v>
      </c>
      <c r="Q13" s="17">
        <v>4</v>
      </c>
      <c r="R13" s="18">
        <v>18</v>
      </c>
      <c r="S13" s="19">
        <f>R7*R13</f>
        <v>221.09568600413672</v>
      </c>
    </row>
    <row r="14" spans="1:19" ht="15.7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N14" s="17">
        <v>3</v>
      </c>
      <c r="O14" s="18">
        <v>44</v>
      </c>
      <c r="P14" s="19">
        <f>R7*O14</f>
        <v>540.45612134344526</v>
      </c>
      <c r="Q14" s="17">
        <v>5</v>
      </c>
      <c r="R14" s="18">
        <v>0</v>
      </c>
      <c r="S14" s="19">
        <f>R14*R7</f>
        <v>0</v>
      </c>
    </row>
    <row r="15" spans="1:19" ht="15.7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N15" s="17">
        <v>4</v>
      </c>
      <c r="O15" s="18">
        <v>44</v>
      </c>
      <c r="P15" s="19">
        <f>R7*O15</f>
        <v>540.45612134344526</v>
      </c>
      <c r="Q15" s="17">
        <v>1</v>
      </c>
      <c r="R15" s="18">
        <v>0</v>
      </c>
      <c r="S15" s="19">
        <f>R7*R15</f>
        <v>0</v>
      </c>
    </row>
    <row r="16" spans="1:19" ht="15.7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N16" s="17">
        <v>5</v>
      </c>
      <c r="O16" s="18">
        <v>44</v>
      </c>
      <c r="P16" s="19">
        <f>R7*O16</f>
        <v>540.45612134344526</v>
      </c>
      <c r="Q16" s="17"/>
      <c r="R16" s="18">
        <v>0</v>
      </c>
      <c r="S16" s="19">
        <f>R7*R16</f>
        <v>0</v>
      </c>
    </row>
    <row r="17" spans="1:19" ht="15.7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N17" s="17">
        <v>6</v>
      </c>
      <c r="O17" s="18">
        <v>44</v>
      </c>
      <c r="P17" s="19">
        <f>R7*O17</f>
        <v>540.45612134344526</v>
      </c>
      <c r="Q17" s="17"/>
      <c r="R17" s="18">
        <v>0</v>
      </c>
      <c r="S17" s="19">
        <f>R7*R17</f>
        <v>0</v>
      </c>
    </row>
    <row r="18" spans="1:19" ht="15.7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N18" s="17">
        <v>7</v>
      </c>
      <c r="O18" s="18">
        <v>43</v>
      </c>
      <c r="P18" s="19">
        <f>R7*O18</f>
        <v>528.17302767654883</v>
      </c>
      <c r="Q18" s="17"/>
      <c r="R18" s="18">
        <v>0</v>
      </c>
      <c r="S18" s="19">
        <f>R7*R18</f>
        <v>0</v>
      </c>
    </row>
    <row r="19" spans="1:19" ht="15.7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N19" s="17">
        <v>8</v>
      </c>
      <c r="O19" s="18">
        <v>40</v>
      </c>
      <c r="P19" s="19">
        <f>R7*O19</f>
        <v>491.32374667585935</v>
      </c>
      <c r="Q19" s="17"/>
      <c r="R19" s="18">
        <v>0</v>
      </c>
      <c r="S19" s="19">
        <f>R7*R19</f>
        <v>0</v>
      </c>
    </row>
    <row r="20" spans="1:19" ht="15.7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N20" s="17">
        <v>9</v>
      </c>
      <c r="O20" s="18">
        <v>0</v>
      </c>
      <c r="P20" s="19">
        <f>R7*O20</f>
        <v>0</v>
      </c>
      <c r="Q20" s="17"/>
      <c r="R20" s="18">
        <v>0</v>
      </c>
      <c r="S20" s="19">
        <f>R7*R20</f>
        <v>0</v>
      </c>
    </row>
    <row r="21" spans="1:19" ht="15.7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N21" s="20" t="s">
        <v>53</v>
      </c>
      <c r="O21" s="18">
        <v>0</v>
      </c>
      <c r="P21" s="19">
        <f>R7*O21</f>
        <v>0</v>
      </c>
      <c r="Q21" s="17"/>
      <c r="R21" s="18"/>
      <c r="S21" s="19">
        <f>R7*R21</f>
        <v>0</v>
      </c>
    </row>
    <row r="22" spans="1:19" ht="15.7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N22" s="13" t="s">
        <v>59</v>
      </c>
      <c r="O22" s="21">
        <f>P8-O12-O13-O14-O15-O16-O17-O18-O19-O20-O21</f>
        <v>-233.75159995508898</v>
      </c>
      <c r="P22" s="21">
        <f>Q8-P12-P13-P14-P15-P16-P17-P18-P19-P20-P21</f>
        <v>-2871.1927970352735</v>
      </c>
      <c r="Q22" s="13" t="s">
        <v>59</v>
      </c>
      <c r="R22" s="21">
        <f>P8-R12-R13-R14-R15-R16-R17-R18-R19-R20-R21</f>
        <v>60.248400044911023</v>
      </c>
      <c r="S22" s="21">
        <f>Q8-S12-S13-S14-S15-S16-S17-S18-S19-S20-S21</f>
        <v>740.03674103229241</v>
      </c>
    </row>
    <row r="23" spans="1:19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N23" s="13" t="s">
        <v>60</v>
      </c>
      <c r="O23" s="16">
        <f>O12+O13+O14+O15+O16+O17+O18+O19+O20+O21</f>
        <v>347</v>
      </c>
      <c r="P23" s="16">
        <f>P12+P13+P14+P15+P16+P17+P18+P19+P20+P21</f>
        <v>4262.2335024130798</v>
      </c>
      <c r="Q23" s="13" t="s">
        <v>60</v>
      </c>
      <c r="R23" s="16">
        <f>R12+R13+R14+R15+R16+R17+R18+R19+R20+R21</f>
        <v>53</v>
      </c>
      <c r="S23" s="16">
        <f>S12+S13+S14+S15+S16+S17+S18+S19+S20+S21</f>
        <v>651.00396434551362</v>
      </c>
    </row>
    <row r="24" spans="1:19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9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</row>
    <row r="26" spans="1:19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spans="1:19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spans="1:19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1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spans="1:19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spans="1:19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</row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O5:O6"/>
    <mergeCell ref="N10:P10"/>
    <mergeCell ref="Q10:S10"/>
    <mergeCell ref="Q5:Q6"/>
    <mergeCell ref="R5:R6"/>
    <mergeCell ref="S5:S6"/>
    <mergeCell ref="R7:R8"/>
    <mergeCell ref="S7:S8"/>
    <mergeCell ref="N9:S9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sheetPr codeName="Лист28"/>
  <dimension ref="A1:S23"/>
  <sheetViews>
    <sheetView workbookViewId="0">
      <selection activeCell="G4" sqref="G4:H4"/>
    </sheetView>
  </sheetViews>
  <sheetFormatPr defaultRowHeight="15"/>
  <cols>
    <col min="1" max="1" width="10.140625" bestFit="1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150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67</v>
      </c>
      <c r="B4" s="2" t="s">
        <v>68</v>
      </c>
      <c r="C4" s="500">
        <f>AVERAGEA(I7:I50)</f>
        <v>0.73924050632911398</v>
      </c>
      <c r="D4" s="501"/>
      <c r="E4" s="500">
        <f>AVERAGEA(J7:J50)</f>
        <v>16.397260273972602</v>
      </c>
      <c r="F4" s="501"/>
      <c r="G4" s="500">
        <f>AVERAGEA(K7:K50)</f>
        <v>5</v>
      </c>
      <c r="H4" s="501"/>
      <c r="I4" s="3">
        <f>C4*K2</f>
        <v>110.8860759493671</v>
      </c>
      <c r="J4" s="3">
        <f>I4*E4</f>
        <v>1818.2278481012659</v>
      </c>
      <c r="K4" s="3">
        <f>K2*G4</f>
        <v>750</v>
      </c>
    </row>
    <row r="5" spans="1:19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2"/>
      <c r="B6" s="492"/>
      <c r="C6" s="492"/>
      <c r="D6" s="492"/>
      <c r="E6" s="492"/>
      <c r="F6" s="4" t="s">
        <v>20</v>
      </c>
      <c r="G6" s="5" t="s">
        <v>21</v>
      </c>
      <c r="H6" s="492"/>
      <c r="I6" s="492"/>
      <c r="J6" s="492"/>
      <c r="K6" s="492"/>
      <c r="N6" s="492"/>
      <c r="O6" s="492"/>
      <c r="P6" s="492"/>
      <c r="Q6" s="492"/>
      <c r="R6" s="492"/>
      <c r="S6" s="492"/>
    </row>
    <row r="7" spans="1:19" ht="15.75">
      <c r="A7" s="11">
        <v>45154</v>
      </c>
      <c r="B7" s="12" t="s">
        <v>69</v>
      </c>
      <c r="C7" s="12" t="s">
        <v>63</v>
      </c>
      <c r="D7" s="12">
        <v>339</v>
      </c>
      <c r="E7" s="12">
        <v>56</v>
      </c>
      <c r="F7" s="12">
        <v>292</v>
      </c>
      <c r="G7" s="12">
        <v>4788</v>
      </c>
      <c r="H7" s="12">
        <v>1975</v>
      </c>
      <c r="I7" s="6">
        <f>F7/(D7+E7)</f>
        <v>0.73924050632911398</v>
      </c>
      <c r="J7" s="6">
        <f>G7/F7</f>
        <v>16.397260273972602</v>
      </c>
      <c r="K7" s="6">
        <f>H7/(D7+E7)</f>
        <v>5</v>
      </c>
      <c r="N7" s="13" t="s">
        <v>49</v>
      </c>
      <c r="O7" s="14">
        <f>K2</f>
        <v>150</v>
      </c>
      <c r="P7" s="15">
        <f>I4</f>
        <v>110.8860759493671</v>
      </c>
      <c r="Q7" s="15">
        <f>J4</f>
        <v>1818.2278481012659</v>
      </c>
      <c r="R7" s="493">
        <f>Q7/P7</f>
        <v>16.397260273972602</v>
      </c>
      <c r="S7" s="493">
        <f>P7/O7</f>
        <v>0.73924050632911398</v>
      </c>
    </row>
    <row r="8" spans="1:19" ht="15.75">
      <c r="N8" s="13" t="s">
        <v>50</v>
      </c>
      <c r="O8" s="14">
        <f>O7</f>
        <v>150</v>
      </c>
      <c r="P8" s="16">
        <f>O8*S7</f>
        <v>110.8860759493671</v>
      </c>
      <c r="Q8" s="16">
        <f>P8*R7</f>
        <v>1818.2278481012659</v>
      </c>
      <c r="R8" s="492"/>
      <c r="S8" s="492"/>
    </row>
    <row r="9" spans="1:19">
      <c r="N9" s="494" t="s">
        <v>51</v>
      </c>
      <c r="O9" s="495"/>
      <c r="P9" s="495"/>
      <c r="Q9" s="495"/>
      <c r="R9" s="495"/>
      <c r="S9" s="496"/>
    </row>
    <row r="10" spans="1:19"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N12" s="17">
        <v>1</v>
      </c>
      <c r="O12" s="18">
        <v>44</v>
      </c>
      <c r="P12" s="19">
        <f>O12*R7</f>
        <v>721.47945205479448</v>
      </c>
      <c r="Q12" s="17">
        <v>3</v>
      </c>
      <c r="R12" s="18">
        <v>35</v>
      </c>
      <c r="S12" s="19">
        <f>R12*R7</f>
        <v>573.90410958904113</v>
      </c>
    </row>
    <row r="13" spans="1:19" ht="15.75">
      <c r="N13" s="17">
        <v>2</v>
      </c>
      <c r="O13" s="18">
        <v>44</v>
      </c>
      <c r="P13" s="19">
        <f>O13*R7</f>
        <v>721.47945205479448</v>
      </c>
      <c r="Q13" s="17">
        <v>4</v>
      </c>
      <c r="R13" s="18">
        <v>18</v>
      </c>
      <c r="S13" s="19">
        <f>R7*R13</f>
        <v>295.15068493150682</v>
      </c>
    </row>
    <row r="14" spans="1:19" ht="15.75">
      <c r="N14" s="17">
        <v>3</v>
      </c>
      <c r="O14" s="18">
        <v>44</v>
      </c>
      <c r="P14" s="19">
        <f>R7*O14</f>
        <v>721.47945205479448</v>
      </c>
      <c r="Q14" s="17">
        <v>5</v>
      </c>
      <c r="R14" s="18">
        <v>0</v>
      </c>
      <c r="S14" s="19">
        <f>R14*R7</f>
        <v>0</v>
      </c>
    </row>
    <row r="15" spans="1:19" ht="15.75">
      <c r="N15" s="17">
        <v>4</v>
      </c>
      <c r="O15" s="18">
        <v>44</v>
      </c>
      <c r="P15" s="19">
        <f>R7*O15</f>
        <v>721.47945205479448</v>
      </c>
      <c r="Q15" s="17">
        <v>1</v>
      </c>
      <c r="R15" s="18">
        <v>0</v>
      </c>
      <c r="S15" s="19">
        <f>R7*R15</f>
        <v>0</v>
      </c>
    </row>
    <row r="16" spans="1:19" ht="15.75">
      <c r="N16" s="17">
        <v>5</v>
      </c>
      <c r="O16" s="18">
        <v>44</v>
      </c>
      <c r="P16" s="19">
        <f>R7*O16</f>
        <v>721.47945205479448</v>
      </c>
      <c r="Q16" s="17"/>
      <c r="R16" s="18">
        <v>0</v>
      </c>
      <c r="S16" s="19">
        <f>R7*R16</f>
        <v>0</v>
      </c>
    </row>
    <row r="17" spans="14:19" ht="15.75">
      <c r="N17" s="17">
        <v>6</v>
      </c>
      <c r="O17" s="18">
        <v>44</v>
      </c>
      <c r="P17" s="19">
        <f>R7*O17</f>
        <v>721.47945205479448</v>
      </c>
      <c r="Q17" s="17"/>
      <c r="R17" s="18">
        <v>0</v>
      </c>
      <c r="S17" s="19">
        <f>R7*R17</f>
        <v>0</v>
      </c>
    </row>
    <row r="18" spans="14:19" ht="15.75">
      <c r="N18" s="17">
        <v>7</v>
      </c>
      <c r="O18" s="18">
        <v>43</v>
      </c>
      <c r="P18" s="19">
        <f>R7*O18</f>
        <v>705.08219178082186</v>
      </c>
      <c r="Q18" s="17"/>
      <c r="R18" s="18">
        <v>0</v>
      </c>
      <c r="S18" s="19">
        <f>R7*R18</f>
        <v>0</v>
      </c>
    </row>
    <row r="19" spans="14:19" ht="15.75">
      <c r="N19" s="17">
        <v>8</v>
      </c>
      <c r="O19" s="18">
        <v>40</v>
      </c>
      <c r="P19" s="19">
        <f>R7*O19</f>
        <v>655.89041095890411</v>
      </c>
      <c r="Q19" s="17"/>
      <c r="R19" s="18">
        <v>0</v>
      </c>
      <c r="S19" s="19">
        <f>R7*R19</f>
        <v>0</v>
      </c>
    </row>
    <row r="20" spans="14:19" ht="15.75">
      <c r="N20" s="17">
        <v>9</v>
      </c>
      <c r="O20" s="18">
        <v>0</v>
      </c>
      <c r="P20" s="19">
        <f>R7*O20</f>
        <v>0</v>
      </c>
      <c r="Q20" s="17"/>
      <c r="R20" s="18">
        <v>0</v>
      </c>
      <c r="S20" s="19">
        <f>R7*R20</f>
        <v>0</v>
      </c>
    </row>
    <row r="21" spans="14:19" ht="15.75">
      <c r="N21" s="20" t="s">
        <v>53</v>
      </c>
      <c r="O21" s="18">
        <v>0</v>
      </c>
      <c r="P21" s="19">
        <f>R7*O21</f>
        <v>0</v>
      </c>
      <c r="Q21" s="17"/>
      <c r="R21" s="18"/>
      <c r="S21" s="19">
        <f>R7*R21</f>
        <v>0</v>
      </c>
    </row>
    <row r="22" spans="14:19" ht="15.75">
      <c r="N22" s="13" t="s">
        <v>59</v>
      </c>
      <c r="O22" s="21">
        <f>P8-O12-O13-O14-O15-O16-O17-O18-O19-O20-O21</f>
        <v>-236.1139240506329</v>
      </c>
      <c r="P22" s="21">
        <f>Q8-P12-P13-P14-P15-P16-P17-P18-P19-P20-P21</f>
        <v>-3871.6214669672263</v>
      </c>
      <c r="Q22" s="13" t="s">
        <v>59</v>
      </c>
      <c r="R22" s="21">
        <f>P8-R12-R13-R14-R15-R16-R17-R18-R19-R20-R21</f>
        <v>57.886075949367097</v>
      </c>
      <c r="S22" s="21">
        <f>Q8-S12-S13-S14-S15-S16-S17-S18-S19-S20-S21</f>
        <v>949.17305358071792</v>
      </c>
    </row>
    <row r="23" spans="14:19">
      <c r="N23" s="13" t="s">
        <v>60</v>
      </c>
      <c r="O23" s="16">
        <f>O12+O13+O14+O15+O16+O17+O18+O19+O20+O21</f>
        <v>347</v>
      </c>
      <c r="P23" s="16">
        <f>P12+P13+P14+P15+P16+P17+P18+P19+P20+P21</f>
        <v>5689.8493150684926</v>
      </c>
      <c r="Q23" s="13" t="s">
        <v>60</v>
      </c>
      <c r="R23" s="16">
        <f>R12+R13+R14+R15+R16+R17+R18+R19+R20+R21</f>
        <v>53</v>
      </c>
      <c r="S23" s="16">
        <f>S12+S13+S14+S15+S16+S17+S18+S19+S20+S21</f>
        <v>869.05479452054794</v>
      </c>
    </row>
  </sheetData>
  <sheetProtection password="CC6F" sheet="1" objects="1" scenarios="1"/>
  <mergeCells count="34">
    <mergeCell ref="S5:S6"/>
    <mergeCell ref="R7:R8"/>
    <mergeCell ref="S7:S8"/>
    <mergeCell ref="N9:S9"/>
    <mergeCell ref="N10:P10"/>
    <mergeCell ref="Q10:S10"/>
    <mergeCell ref="N5:N6"/>
    <mergeCell ref="O5:O6"/>
    <mergeCell ref="P5:P6"/>
    <mergeCell ref="Q5:Q6"/>
    <mergeCell ref="R5:R6"/>
    <mergeCell ref="I5:I6"/>
    <mergeCell ref="J5:J6"/>
    <mergeCell ref="K5:K6"/>
    <mergeCell ref="C4:D4"/>
    <mergeCell ref="E4:F4"/>
    <mergeCell ref="G4:H4"/>
    <mergeCell ref="F5:G5"/>
    <mergeCell ref="H5:H6"/>
    <mergeCell ref="A5:A6"/>
    <mergeCell ref="B5:B6"/>
    <mergeCell ref="C5:C6"/>
    <mergeCell ref="D5:D6"/>
    <mergeCell ref="E5:E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sheetPr codeName="Лист29"/>
  <dimension ref="A1:S23"/>
  <sheetViews>
    <sheetView workbookViewId="0">
      <selection activeCell="K11" sqref="K11"/>
    </sheetView>
  </sheetViews>
  <sheetFormatPr defaultRowHeight="15"/>
  <cols>
    <col min="1" max="1" width="10.140625" bestFit="1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437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67</v>
      </c>
      <c r="B4" s="2" t="s">
        <v>12</v>
      </c>
      <c r="C4" s="500">
        <f>AVERAGEA(I7:I43)</f>
        <v>0.78428510612418656</v>
      </c>
      <c r="D4" s="501"/>
      <c r="E4" s="500">
        <f>AVERAGEA(J7:J43)</f>
        <v>12.175868611721262</v>
      </c>
      <c r="F4" s="501"/>
      <c r="G4" s="500">
        <f>AVERAGEA(K7:K43)</f>
        <v>3</v>
      </c>
      <c r="H4" s="501"/>
      <c r="I4" s="3">
        <f>C4*K2</f>
        <v>342.73259137626951</v>
      </c>
      <c r="J4" s="3">
        <f>I4*E4</f>
        <v>4173.0670015522091</v>
      </c>
      <c r="K4" s="3">
        <f>K2*G4</f>
        <v>1311</v>
      </c>
    </row>
    <row r="5" spans="1:19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  <c r="N6" s="492"/>
      <c r="O6" s="492"/>
      <c r="P6" s="492"/>
      <c r="Q6" s="492"/>
      <c r="R6" s="492"/>
      <c r="S6" s="492"/>
    </row>
    <row r="7" spans="1:19" ht="15.75">
      <c r="A7" s="28">
        <v>46024</v>
      </c>
      <c r="B7" s="29">
        <v>3342</v>
      </c>
      <c r="C7" s="29" t="s">
        <v>128</v>
      </c>
      <c r="D7" s="29">
        <v>180</v>
      </c>
      <c r="E7" s="29">
        <v>23</v>
      </c>
      <c r="F7" s="29">
        <v>164</v>
      </c>
      <c r="G7" s="29">
        <v>1842</v>
      </c>
      <c r="H7" s="29">
        <v>609</v>
      </c>
      <c r="I7" s="25">
        <f>F7/(D7+E7)</f>
        <v>0.80788177339901479</v>
      </c>
      <c r="J7" s="25">
        <f>G7/F7</f>
        <v>11.231707317073171</v>
      </c>
      <c r="K7" s="25">
        <f>H7/(D7+E7)</f>
        <v>3</v>
      </c>
      <c r="N7" s="13" t="s">
        <v>49</v>
      </c>
      <c r="O7" s="14">
        <f>K2</f>
        <v>437</v>
      </c>
      <c r="P7" s="15">
        <f>I4</f>
        <v>342.73259137626951</v>
      </c>
      <c r="Q7" s="15">
        <f>J4</f>
        <v>4173.0670015522091</v>
      </c>
      <c r="R7" s="493">
        <f>Q7/P7</f>
        <v>12.175868611721262</v>
      </c>
      <c r="S7" s="493">
        <f>P7/O7</f>
        <v>0.78428510612418656</v>
      </c>
    </row>
    <row r="8" spans="1:19" ht="15.75">
      <c r="A8" s="24">
        <v>46031</v>
      </c>
      <c r="B8" s="23">
        <v>3342</v>
      </c>
      <c r="C8" s="23" t="s">
        <v>128</v>
      </c>
      <c r="D8" s="23">
        <v>331</v>
      </c>
      <c r="E8" s="23">
        <v>47</v>
      </c>
      <c r="F8" s="23">
        <v>313</v>
      </c>
      <c r="G8" s="23">
        <v>3926</v>
      </c>
      <c r="H8" s="23">
        <v>1134</v>
      </c>
      <c r="I8" s="25">
        <f>F8/(D8+E8)</f>
        <v>0.82804232804232802</v>
      </c>
      <c r="J8" s="25">
        <f>G8/F8</f>
        <v>12.543130990415335</v>
      </c>
      <c r="K8" s="25">
        <f>H8/(D8+E8)</f>
        <v>3</v>
      </c>
      <c r="N8" s="13" t="s">
        <v>50</v>
      </c>
      <c r="O8" s="14">
        <f>O7</f>
        <v>437</v>
      </c>
      <c r="P8" s="16">
        <f>O8*S7</f>
        <v>342.73259137626951</v>
      </c>
      <c r="Q8" s="16">
        <f>P8*R7</f>
        <v>4173.0670015522091</v>
      </c>
      <c r="R8" s="492"/>
      <c r="S8" s="492"/>
    </row>
    <row r="9" spans="1:19">
      <c r="A9" s="24">
        <v>46035</v>
      </c>
      <c r="B9" s="23">
        <v>3342</v>
      </c>
      <c r="C9" s="23" t="s">
        <v>128</v>
      </c>
      <c r="D9" s="23">
        <v>323</v>
      </c>
      <c r="E9" s="23">
        <v>55</v>
      </c>
      <c r="F9" s="23">
        <v>271</v>
      </c>
      <c r="G9" s="23">
        <v>3456</v>
      </c>
      <c r="H9" s="23">
        <v>1134</v>
      </c>
      <c r="I9" s="25">
        <f>F9/(D9+E9)</f>
        <v>0.71693121693121697</v>
      </c>
      <c r="J9" s="25">
        <f>G9/F9</f>
        <v>12.752767527675276</v>
      </c>
      <c r="K9" s="25">
        <f>H9/(D9+E9)</f>
        <v>3</v>
      </c>
      <c r="N9" s="494" t="s">
        <v>51</v>
      </c>
      <c r="O9" s="495"/>
      <c r="P9" s="495"/>
      <c r="Q9" s="495"/>
      <c r="R9" s="495"/>
      <c r="S9" s="496"/>
    </row>
    <row r="10" spans="1:19">
      <c r="A10" s="24"/>
      <c r="B10" s="23"/>
      <c r="C10" s="23"/>
      <c r="D10" s="23"/>
      <c r="E10" s="23"/>
      <c r="F10" s="23"/>
      <c r="G10" s="23"/>
      <c r="H10" s="23"/>
      <c r="I10" s="25"/>
      <c r="J10" s="25"/>
      <c r="K10" s="25"/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24"/>
      <c r="B11" s="23"/>
      <c r="C11" s="23"/>
      <c r="D11" s="23"/>
      <c r="E11" s="23"/>
      <c r="F11" s="23"/>
      <c r="G11" s="23"/>
      <c r="H11" s="23"/>
      <c r="I11" s="25"/>
      <c r="J11" s="25"/>
      <c r="K11" s="25"/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24"/>
      <c r="B12" s="23"/>
      <c r="C12" s="23"/>
      <c r="D12" s="23"/>
      <c r="E12" s="23"/>
      <c r="F12" s="23"/>
      <c r="G12" s="23"/>
      <c r="H12" s="23"/>
      <c r="I12" s="25"/>
      <c r="J12" s="25"/>
      <c r="K12" s="25"/>
      <c r="N12" s="17">
        <v>1</v>
      </c>
      <c r="O12" s="18">
        <v>44</v>
      </c>
      <c r="P12" s="19">
        <f>O12*R7</f>
        <v>535.7382189157355</v>
      </c>
      <c r="Q12" s="17">
        <v>3</v>
      </c>
      <c r="R12" s="18">
        <v>35</v>
      </c>
      <c r="S12" s="19">
        <f>R12*R7</f>
        <v>426.15540141024417</v>
      </c>
    </row>
    <row r="13" spans="1:19" ht="15.7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N13" s="17">
        <v>2</v>
      </c>
      <c r="O13" s="18">
        <v>44</v>
      </c>
      <c r="P13" s="19">
        <f>O13*R7</f>
        <v>535.7382189157355</v>
      </c>
      <c r="Q13" s="17">
        <v>4</v>
      </c>
      <c r="R13" s="18">
        <v>18</v>
      </c>
      <c r="S13" s="19">
        <f>R7*R13</f>
        <v>219.1656350109827</v>
      </c>
    </row>
    <row r="14" spans="1:19" ht="15.7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N14" s="17">
        <v>3</v>
      </c>
      <c r="O14" s="18">
        <v>44</v>
      </c>
      <c r="P14" s="19">
        <f>R7*O14</f>
        <v>535.7382189157355</v>
      </c>
      <c r="Q14" s="17">
        <v>5</v>
      </c>
      <c r="R14" s="18">
        <v>0</v>
      </c>
      <c r="S14" s="19">
        <f>R14*R7</f>
        <v>0</v>
      </c>
    </row>
    <row r="15" spans="1:19" ht="15.7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N15" s="17">
        <v>4</v>
      </c>
      <c r="O15" s="18">
        <v>44</v>
      </c>
      <c r="P15" s="19">
        <f>R7*O15</f>
        <v>535.7382189157355</v>
      </c>
      <c r="Q15" s="17">
        <v>1</v>
      </c>
      <c r="R15" s="18">
        <v>0</v>
      </c>
      <c r="S15" s="19">
        <f>R7*R15</f>
        <v>0</v>
      </c>
    </row>
    <row r="16" spans="1:19" ht="15.7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N16" s="17">
        <v>5</v>
      </c>
      <c r="O16" s="18">
        <v>44</v>
      </c>
      <c r="P16" s="19">
        <f>R7*O16</f>
        <v>535.7382189157355</v>
      </c>
      <c r="Q16" s="17"/>
      <c r="R16" s="18">
        <v>0</v>
      </c>
      <c r="S16" s="19">
        <f>R7*R16</f>
        <v>0</v>
      </c>
    </row>
    <row r="17" spans="14:19" ht="15.75">
      <c r="N17" s="17">
        <v>6</v>
      </c>
      <c r="O17" s="18">
        <v>44</v>
      </c>
      <c r="P17" s="19">
        <f>R7*O17</f>
        <v>535.7382189157355</v>
      </c>
      <c r="Q17" s="17"/>
      <c r="R17" s="18">
        <v>0</v>
      </c>
      <c r="S17" s="19">
        <f>R7*R17</f>
        <v>0</v>
      </c>
    </row>
    <row r="18" spans="14:19" ht="15.75">
      <c r="N18" s="17">
        <v>7</v>
      </c>
      <c r="O18" s="18">
        <v>43</v>
      </c>
      <c r="P18" s="19">
        <f>R7*O18</f>
        <v>523.56235030401422</v>
      </c>
      <c r="Q18" s="17"/>
      <c r="R18" s="18">
        <v>0</v>
      </c>
      <c r="S18" s="19">
        <f>R7*R18</f>
        <v>0</v>
      </c>
    </row>
    <row r="19" spans="14:19" ht="15.75">
      <c r="N19" s="17">
        <v>8</v>
      </c>
      <c r="O19" s="18">
        <v>40</v>
      </c>
      <c r="P19" s="19">
        <f>R7*O19</f>
        <v>487.03474446885048</v>
      </c>
      <c r="Q19" s="17"/>
      <c r="R19" s="18">
        <v>0</v>
      </c>
      <c r="S19" s="19">
        <f>R7*R19</f>
        <v>0</v>
      </c>
    </row>
    <row r="20" spans="14:19" ht="15.75">
      <c r="N20" s="17">
        <v>9</v>
      </c>
      <c r="O20" s="18">
        <v>0</v>
      </c>
      <c r="P20" s="19">
        <f>R7*O20</f>
        <v>0</v>
      </c>
      <c r="Q20" s="17"/>
      <c r="R20" s="18">
        <v>0</v>
      </c>
      <c r="S20" s="19">
        <f>R7*R20</f>
        <v>0</v>
      </c>
    </row>
    <row r="21" spans="14:19" ht="15.75">
      <c r="N21" s="20" t="s">
        <v>53</v>
      </c>
      <c r="O21" s="18">
        <v>0</v>
      </c>
      <c r="P21" s="19">
        <f>R7*O21</f>
        <v>0</v>
      </c>
      <c r="Q21" s="17"/>
      <c r="R21" s="18"/>
      <c r="S21" s="19">
        <f>R7*R21</f>
        <v>0</v>
      </c>
    </row>
    <row r="22" spans="14:19" ht="15.75">
      <c r="N22" s="13" t="s">
        <v>59</v>
      </c>
      <c r="O22" s="21">
        <f>P8-O12-O13-O14-O15-O16-O17-O18-O19-O20-O21</f>
        <v>-4.2674086237304891</v>
      </c>
      <c r="P22" s="21">
        <f>Q8-P12-P13-P14-P15-P16-P17-P18-P19-P20-P21</f>
        <v>-51.959406715069122</v>
      </c>
      <c r="Q22" s="13" t="s">
        <v>59</v>
      </c>
      <c r="R22" s="21">
        <f>P8-R12-R13-R14-R15-R16-R17-R18-R19-R20-R21</f>
        <v>289.73259137626951</v>
      </c>
      <c r="S22" s="21">
        <f>Q8-S12-S13-S14-S15-S16-S17-S18-S19-S20-S21</f>
        <v>3527.7459651309823</v>
      </c>
    </row>
    <row r="23" spans="14:19">
      <c r="N23" s="13" t="s">
        <v>60</v>
      </c>
      <c r="O23" s="16">
        <f>O12+O13+O14+O15+O16+O17+O18+O19+O20+O21</f>
        <v>347</v>
      </c>
      <c r="P23" s="16">
        <f>P12+P13+P14+P15+P16+P17+P18+P19+P20+P21</f>
        <v>4225.0264082672784</v>
      </c>
      <c r="Q23" s="13" t="s">
        <v>60</v>
      </c>
      <c r="R23" s="16">
        <f>R12+R13+R14+R15+R16+R17+R18+R19+R20+R21</f>
        <v>53</v>
      </c>
      <c r="S23" s="16">
        <f>S12+S13+S14+S15+S16+S17+S18+S19+S20+S21</f>
        <v>645.32103642122684</v>
      </c>
    </row>
  </sheetData>
  <sheetProtection password="CC6F" sheet="1" objects="1" scenarios="1"/>
  <mergeCells count="34">
    <mergeCell ref="S5:S6"/>
    <mergeCell ref="R7:R8"/>
    <mergeCell ref="S7:S8"/>
    <mergeCell ref="N9:S9"/>
    <mergeCell ref="N10:P10"/>
    <mergeCell ref="Q10:S10"/>
    <mergeCell ref="N5:N6"/>
    <mergeCell ref="O5:O6"/>
    <mergeCell ref="P5:P6"/>
    <mergeCell ref="Q5:Q6"/>
    <mergeCell ref="R5:R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A5:A6"/>
    <mergeCell ref="B5:B6"/>
    <mergeCell ref="C5:C6"/>
    <mergeCell ref="D5:D6"/>
    <mergeCell ref="E5:E6"/>
    <mergeCell ref="I5:I6"/>
    <mergeCell ref="J5:J6"/>
    <mergeCell ref="K5:K6"/>
    <mergeCell ref="C4:D4"/>
    <mergeCell ref="E4:F4"/>
    <mergeCell ref="G4:H4"/>
    <mergeCell ref="F5:G5"/>
    <mergeCell ref="H5:H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sheetPr codeName="Лист30"/>
  <dimension ref="A1:S23"/>
  <sheetViews>
    <sheetView workbookViewId="0">
      <selection activeCell="A15" sqref="A15"/>
    </sheetView>
  </sheetViews>
  <sheetFormatPr defaultRowHeight="15"/>
  <cols>
    <col min="1" max="1" width="10.140625" bestFit="1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434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67</v>
      </c>
      <c r="B4" s="2" t="s">
        <v>70</v>
      </c>
      <c r="C4" s="500">
        <f>AVERAGEA(I7:I50)</f>
        <v>0.76185245586905859</v>
      </c>
      <c r="D4" s="501"/>
      <c r="E4" s="500">
        <f>AVERAGEA(J7:J50)</f>
        <v>12.129449761991417</v>
      </c>
      <c r="F4" s="501"/>
      <c r="G4" s="500">
        <f>AVERAGEA(K7:K50)</f>
        <v>3</v>
      </c>
      <c r="H4" s="501"/>
      <c r="I4" s="3">
        <f>C4*K2</f>
        <v>330.64396584717144</v>
      </c>
      <c r="J4" s="3">
        <f>I4*E4</f>
        <v>4010.5293728488718</v>
      </c>
      <c r="K4" s="3">
        <f>K2*G4</f>
        <v>1302</v>
      </c>
    </row>
    <row r="5" spans="1:19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  <c r="N6" s="492"/>
      <c r="O6" s="492"/>
      <c r="P6" s="492"/>
      <c r="Q6" s="492"/>
      <c r="R6" s="492"/>
      <c r="S6" s="492"/>
    </row>
    <row r="7" spans="1:19" ht="15.75">
      <c r="A7" s="28">
        <v>46026</v>
      </c>
      <c r="B7" s="29">
        <v>3358</v>
      </c>
      <c r="C7" s="29" t="s">
        <v>128</v>
      </c>
      <c r="D7" s="29">
        <v>300</v>
      </c>
      <c r="E7" s="29">
        <v>63</v>
      </c>
      <c r="F7" s="29">
        <v>280</v>
      </c>
      <c r="G7" s="29">
        <v>3349</v>
      </c>
      <c r="H7" s="29">
        <v>1089</v>
      </c>
      <c r="I7" s="25">
        <f t="shared" ref="I7:I14" si="0">F7/(D7+E7)</f>
        <v>0.77134986225895319</v>
      </c>
      <c r="J7" s="25">
        <f t="shared" ref="J7:J14" si="1">G7/F7</f>
        <v>11.960714285714285</v>
      </c>
      <c r="K7" s="25">
        <f t="shared" ref="K7:K14" si="2">H7/(D7+E7)</f>
        <v>3</v>
      </c>
      <c r="N7" s="13" t="s">
        <v>49</v>
      </c>
      <c r="O7" s="14">
        <f>K2</f>
        <v>434</v>
      </c>
      <c r="P7" s="15">
        <f>I4</f>
        <v>330.64396584717144</v>
      </c>
      <c r="Q7" s="15">
        <f>J4</f>
        <v>4010.5293728488718</v>
      </c>
      <c r="R7" s="493">
        <f>Q7/P7</f>
        <v>12.129449761991417</v>
      </c>
      <c r="S7" s="493">
        <f>P7/O7</f>
        <v>0.76185245586905859</v>
      </c>
    </row>
    <row r="8" spans="1:19" ht="15.75">
      <c r="A8" s="24">
        <v>46027</v>
      </c>
      <c r="B8" s="23">
        <v>3350</v>
      </c>
      <c r="C8" s="23" t="s">
        <v>128</v>
      </c>
      <c r="D8" s="23">
        <v>258</v>
      </c>
      <c r="E8" s="23">
        <v>53</v>
      </c>
      <c r="F8" s="23">
        <v>234</v>
      </c>
      <c r="G8" s="23">
        <v>2953</v>
      </c>
      <c r="H8" s="23">
        <v>933</v>
      </c>
      <c r="I8" s="25">
        <f t="shared" si="0"/>
        <v>0.752411575562701</v>
      </c>
      <c r="J8" s="25">
        <f t="shared" si="1"/>
        <v>12.619658119658119</v>
      </c>
      <c r="K8" s="25">
        <f t="shared" si="2"/>
        <v>3</v>
      </c>
      <c r="N8" s="13" t="s">
        <v>50</v>
      </c>
      <c r="O8" s="14">
        <f>O7</f>
        <v>434</v>
      </c>
      <c r="P8" s="16">
        <f>O8*S7</f>
        <v>330.64396584717144</v>
      </c>
      <c r="Q8" s="16">
        <f>P8*R7</f>
        <v>4010.5293728488718</v>
      </c>
      <c r="R8" s="492"/>
      <c r="S8" s="492"/>
    </row>
    <row r="9" spans="1:19">
      <c r="A9" s="24">
        <v>46030</v>
      </c>
      <c r="B9" s="23">
        <v>3350</v>
      </c>
      <c r="C9" s="23" t="s">
        <v>128</v>
      </c>
      <c r="D9" s="23">
        <v>334</v>
      </c>
      <c r="E9" s="23">
        <v>41</v>
      </c>
      <c r="F9" s="23">
        <v>294</v>
      </c>
      <c r="G9" s="23">
        <v>3514</v>
      </c>
      <c r="H9" s="23">
        <v>1125</v>
      </c>
      <c r="I9" s="25">
        <f t="shared" si="0"/>
        <v>0.78400000000000003</v>
      </c>
      <c r="J9" s="25">
        <f t="shared" si="1"/>
        <v>11.952380952380953</v>
      </c>
      <c r="K9" s="25">
        <f t="shared" si="2"/>
        <v>3</v>
      </c>
      <c r="N9" s="494" t="s">
        <v>51</v>
      </c>
      <c r="O9" s="495"/>
      <c r="P9" s="495"/>
      <c r="Q9" s="495"/>
      <c r="R9" s="495"/>
      <c r="S9" s="496"/>
    </row>
    <row r="10" spans="1:19">
      <c r="A10" s="24">
        <v>46033</v>
      </c>
      <c r="B10" s="23">
        <v>3350</v>
      </c>
      <c r="C10" s="23" t="s">
        <v>128</v>
      </c>
      <c r="D10" s="23">
        <v>323</v>
      </c>
      <c r="E10" s="23">
        <v>55</v>
      </c>
      <c r="F10" s="23">
        <v>288</v>
      </c>
      <c r="G10" s="23">
        <v>3505</v>
      </c>
      <c r="H10" s="23">
        <v>1134</v>
      </c>
      <c r="I10" s="25">
        <f t="shared" si="0"/>
        <v>0.76190476190476186</v>
      </c>
      <c r="J10" s="25">
        <f t="shared" si="1"/>
        <v>12.170138888888889</v>
      </c>
      <c r="K10" s="25">
        <f t="shared" si="2"/>
        <v>3</v>
      </c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24">
        <v>46037</v>
      </c>
      <c r="B11" s="23">
        <v>3358</v>
      </c>
      <c r="C11" s="23" t="s">
        <v>128</v>
      </c>
      <c r="D11" s="23">
        <v>308</v>
      </c>
      <c r="E11" s="23">
        <v>69</v>
      </c>
      <c r="F11" s="23">
        <v>289</v>
      </c>
      <c r="G11" s="23">
        <v>3400</v>
      </c>
      <c r="H11" s="23">
        <v>1131</v>
      </c>
      <c r="I11" s="25">
        <f t="shared" si="0"/>
        <v>0.76657824933687002</v>
      </c>
      <c r="J11" s="25">
        <f t="shared" si="1"/>
        <v>11.764705882352942</v>
      </c>
      <c r="K11" s="25">
        <f t="shared" si="2"/>
        <v>3</v>
      </c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24">
        <v>46038</v>
      </c>
      <c r="B12" s="23">
        <v>3358</v>
      </c>
      <c r="C12" s="23" t="s">
        <v>128</v>
      </c>
      <c r="D12" s="23">
        <v>310</v>
      </c>
      <c r="E12" s="23">
        <v>69</v>
      </c>
      <c r="F12" s="23">
        <v>282</v>
      </c>
      <c r="G12" s="23">
        <v>3584</v>
      </c>
      <c r="H12" s="23">
        <v>1137</v>
      </c>
      <c r="I12" s="25">
        <f t="shared" si="0"/>
        <v>0.74406332453825863</v>
      </c>
      <c r="J12" s="25">
        <f t="shared" si="1"/>
        <v>12.709219858156029</v>
      </c>
      <c r="K12" s="25">
        <f t="shared" si="2"/>
        <v>3</v>
      </c>
      <c r="N12" s="17">
        <v>1</v>
      </c>
      <c r="O12" s="18">
        <v>44</v>
      </c>
      <c r="P12" s="19">
        <f>O12*R7</f>
        <v>533.69578952762231</v>
      </c>
      <c r="Q12" s="17">
        <v>3</v>
      </c>
      <c r="R12" s="18">
        <v>35</v>
      </c>
      <c r="S12" s="19">
        <f>R12*R7</f>
        <v>424.53074166969958</v>
      </c>
    </row>
    <row r="13" spans="1:19" ht="15.75">
      <c r="A13" s="24">
        <v>46041</v>
      </c>
      <c r="B13" s="23">
        <v>3358</v>
      </c>
      <c r="C13" s="23" t="s">
        <v>128</v>
      </c>
      <c r="D13" s="23">
        <v>310</v>
      </c>
      <c r="E13" s="23">
        <v>69</v>
      </c>
      <c r="F13" s="23">
        <v>286</v>
      </c>
      <c r="G13" s="23">
        <v>3336</v>
      </c>
      <c r="H13" s="23">
        <v>1137</v>
      </c>
      <c r="I13" s="25">
        <f t="shared" si="0"/>
        <v>0.75461741424802109</v>
      </c>
      <c r="J13" s="25">
        <f t="shared" si="1"/>
        <v>11.664335664335665</v>
      </c>
      <c r="K13" s="25">
        <f t="shared" si="2"/>
        <v>3</v>
      </c>
      <c r="N13" s="17">
        <v>2</v>
      </c>
      <c r="O13" s="18">
        <v>44</v>
      </c>
      <c r="P13" s="19">
        <f>O13*R7</f>
        <v>533.69578952762231</v>
      </c>
      <c r="Q13" s="17">
        <v>4</v>
      </c>
      <c r="R13" s="18">
        <v>18</v>
      </c>
      <c r="S13" s="19">
        <f>R7*R13</f>
        <v>218.33009571584552</v>
      </c>
    </row>
    <row r="14" spans="1:19" ht="15.75">
      <c r="A14" s="24">
        <v>46044</v>
      </c>
      <c r="B14" s="23">
        <v>3358</v>
      </c>
      <c r="C14" s="23" t="s">
        <v>128</v>
      </c>
      <c r="D14" s="23">
        <v>318</v>
      </c>
      <c r="E14" s="23">
        <v>61</v>
      </c>
      <c r="F14" s="23">
        <v>288</v>
      </c>
      <c r="G14" s="23">
        <v>3512</v>
      </c>
      <c r="H14" s="23">
        <v>1137</v>
      </c>
      <c r="I14" s="25">
        <f t="shared" si="0"/>
        <v>0.75989445910290232</v>
      </c>
      <c r="J14" s="25">
        <f t="shared" si="1"/>
        <v>12.194444444444445</v>
      </c>
      <c r="K14" s="25">
        <f t="shared" si="2"/>
        <v>3</v>
      </c>
      <c r="N14" s="17">
        <v>3</v>
      </c>
      <c r="O14" s="18">
        <v>44</v>
      </c>
      <c r="P14" s="19">
        <f>R7*O14</f>
        <v>533.69578952762231</v>
      </c>
      <c r="Q14" s="17">
        <v>5</v>
      </c>
      <c r="R14" s="18">
        <v>0</v>
      </c>
      <c r="S14" s="19">
        <f>R14*R7</f>
        <v>0</v>
      </c>
    </row>
    <row r="15" spans="1:19" ht="15.75">
      <c r="A15" s="24"/>
      <c r="B15" s="23"/>
      <c r="C15" s="23"/>
      <c r="D15" s="23"/>
      <c r="E15" s="23"/>
      <c r="F15" s="23"/>
      <c r="G15" s="23"/>
      <c r="H15" s="23"/>
      <c r="I15" s="25"/>
      <c r="J15" s="25"/>
      <c r="K15" s="25"/>
      <c r="N15" s="17">
        <v>4</v>
      </c>
      <c r="O15" s="18">
        <v>44</v>
      </c>
      <c r="P15" s="19">
        <f>R7*O15</f>
        <v>533.69578952762231</v>
      </c>
      <c r="Q15" s="17">
        <v>1</v>
      </c>
      <c r="R15" s="18">
        <v>0</v>
      </c>
      <c r="S15" s="19">
        <f>R7*R15</f>
        <v>0</v>
      </c>
    </row>
    <row r="16" spans="1:19" ht="15.75">
      <c r="A16" s="24"/>
      <c r="B16" s="23"/>
      <c r="C16" s="23"/>
      <c r="D16" s="23"/>
      <c r="E16" s="23"/>
      <c r="F16" s="23"/>
      <c r="G16" s="23"/>
      <c r="H16" s="23"/>
      <c r="I16" s="25"/>
      <c r="J16" s="25"/>
      <c r="K16" s="25"/>
      <c r="N16" s="17">
        <v>5</v>
      </c>
      <c r="O16" s="18">
        <v>44</v>
      </c>
      <c r="P16" s="19">
        <f>R7*O16</f>
        <v>533.69578952762231</v>
      </c>
      <c r="Q16" s="17"/>
      <c r="R16" s="18">
        <v>0</v>
      </c>
      <c r="S16" s="19">
        <f>R7*R16</f>
        <v>0</v>
      </c>
    </row>
    <row r="17" spans="1:19" ht="15.75">
      <c r="A17" s="24"/>
      <c r="B17" s="23"/>
      <c r="C17" s="23"/>
      <c r="D17" s="23"/>
      <c r="E17" s="23"/>
      <c r="F17" s="23"/>
      <c r="G17" s="23"/>
      <c r="H17" s="23"/>
      <c r="I17" s="25"/>
      <c r="J17" s="25"/>
      <c r="K17" s="25"/>
      <c r="N17" s="17">
        <v>6</v>
      </c>
      <c r="O17" s="18">
        <v>44</v>
      </c>
      <c r="P17" s="19">
        <f>R7*O17</f>
        <v>533.69578952762231</v>
      </c>
      <c r="Q17" s="17"/>
      <c r="R17" s="18">
        <v>0</v>
      </c>
      <c r="S17" s="19">
        <f>R7*R17</f>
        <v>0</v>
      </c>
    </row>
    <row r="18" spans="1:19" ht="15.7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N18" s="17">
        <v>7</v>
      </c>
      <c r="O18" s="18">
        <v>43</v>
      </c>
      <c r="P18" s="19">
        <f>R7*O18</f>
        <v>521.56633976563091</v>
      </c>
      <c r="Q18" s="17"/>
      <c r="R18" s="18">
        <v>0</v>
      </c>
      <c r="S18" s="19">
        <f>R7*R18</f>
        <v>0</v>
      </c>
    </row>
    <row r="19" spans="1:19" ht="15.7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N19" s="17">
        <v>8</v>
      </c>
      <c r="O19" s="18">
        <v>40</v>
      </c>
      <c r="P19" s="19">
        <f>R7*O19</f>
        <v>485.17799047965667</v>
      </c>
      <c r="Q19" s="17"/>
      <c r="R19" s="18">
        <v>0</v>
      </c>
      <c r="S19" s="19">
        <f>R7*R19</f>
        <v>0</v>
      </c>
    </row>
    <row r="20" spans="1:19" ht="15.75">
      <c r="N20" s="17">
        <v>9</v>
      </c>
      <c r="O20" s="18">
        <v>0</v>
      </c>
      <c r="P20" s="19">
        <f>R7*O20</f>
        <v>0</v>
      </c>
      <c r="Q20" s="17"/>
      <c r="R20" s="18">
        <v>0</v>
      </c>
      <c r="S20" s="19">
        <f>R7*R20</f>
        <v>0</v>
      </c>
    </row>
    <row r="21" spans="1:19" ht="15.75">
      <c r="N21" s="20" t="s">
        <v>53</v>
      </c>
      <c r="O21" s="18">
        <v>0</v>
      </c>
      <c r="P21" s="19">
        <f>R7*O21</f>
        <v>0</v>
      </c>
      <c r="Q21" s="17"/>
      <c r="R21" s="18"/>
      <c r="S21" s="19">
        <f>R7*R21</f>
        <v>0</v>
      </c>
    </row>
    <row r="22" spans="1:19" ht="15.75">
      <c r="N22" s="13" t="s">
        <v>59</v>
      </c>
      <c r="O22" s="21">
        <f>P8-O12-O13-O14-O15-O16-O17-O18-O19-O20-O21</f>
        <v>-16.356034152828556</v>
      </c>
      <c r="P22" s="21">
        <f>Q8-P12-P13-P14-P15-P16-P17-P18-P19-P20-P21</f>
        <v>-198.3896945621496</v>
      </c>
      <c r="Q22" s="13" t="s">
        <v>59</v>
      </c>
      <c r="R22" s="21">
        <f>P8-R12-R13-R14-R15-R16-R17-R18-R19-R20-R21</f>
        <v>277.64396584717144</v>
      </c>
      <c r="S22" s="21">
        <f>Q8-S12-S13-S14-S15-S16-S17-S18-S19-S20-S21</f>
        <v>3367.6685354633269</v>
      </c>
    </row>
    <row r="23" spans="1:19">
      <c r="N23" s="13" t="s">
        <v>60</v>
      </c>
      <c r="O23" s="16">
        <f>O12+O13+O14+O15+O16+O17+O18+O19+O20+O21</f>
        <v>347</v>
      </c>
      <c r="P23" s="16">
        <f>P12+P13+P14+P15+P16+P17+P18+P19+P20+P21</f>
        <v>4208.9190674110214</v>
      </c>
      <c r="Q23" s="13" t="s">
        <v>60</v>
      </c>
      <c r="R23" s="16">
        <f>R12+R13+R14+R15+R16+R17+R18+R19+R20+R21</f>
        <v>53</v>
      </c>
      <c r="S23" s="16">
        <f>S12+S13+S14+S15+S16+S17+S18+S19+S20+S21</f>
        <v>642.8608373855451</v>
      </c>
    </row>
  </sheetData>
  <sheetProtection password="CC6F" sheet="1" objects="1" scenarios="1"/>
  <mergeCells count="34">
    <mergeCell ref="S5:S6"/>
    <mergeCell ref="R7:R8"/>
    <mergeCell ref="S7:S8"/>
    <mergeCell ref="N9:S9"/>
    <mergeCell ref="N10:P10"/>
    <mergeCell ref="Q10:S10"/>
    <mergeCell ref="N5:N6"/>
    <mergeCell ref="O5:O6"/>
    <mergeCell ref="P5:P6"/>
    <mergeCell ref="Q5:Q6"/>
    <mergeCell ref="R5:R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A5:A6"/>
    <mergeCell ref="B5:B6"/>
    <mergeCell ref="C5:C6"/>
    <mergeCell ref="D5:D6"/>
    <mergeCell ref="E5:E6"/>
    <mergeCell ref="I5:I6"/>
    <mergeCell ref="J5:J6"/>
    <mergeCell ref="K5:K6"/>
    <mergeCell ref="C4:D4"/>
    <mergeCell ref="E4:F4"/>
    <mergeCell ref="G4:H4"/>
    <mergeCell ref="F5:G5"/>
    <mergeCell ref="H5:H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sheetPr codeName="Лист32"/>
  <dimension ref="A1:S23"/>
  <sheetViews>
    <sheetView workbookViewId="0">
      <selection activeCell="K7" sqref="K7:K8"/>
    </sheetView>
  </sheetViews>
  <sheetFormatPr defaultRowHeight="15"/>
  <cols>
    <col min="1" max="1" width="10.140625" bestFit="1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437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67</v>
      </c>
      <c r="B4" s="2" t="s">
        <v>24</v>
      </c>
      <c r="C4" s="500">
        <f>AVERAGEA(I7:I50)</f>
        <v>0.77611856509290966</v>
      </c>
      <c r="D4" s="501"/>
      <c r="E4" s="500">
        <f>AVERAGEA(J7:J50)</f>
        <v>11.718447054436988</v>
      </c>
      <c r="F4" s="501"/>
      <c r="G4" s="500">
        <f>AVERAGEA(K7:K50)</f>
        <v>3</v>
      </c>
      <c r="H4" s="501"/>
      <c r="I4" s="3">
        <f>C4*K2</f>
        <v>339.16381294560153</v>
      </c>
      <c r="J4" s="3">
        <f>I4*E4</f>
        <v>3974.4731847840017</v>
      </c>
      <c r="K4" s="3">
        <f>K2*G4</f>
        <v>1311</v>
      </c>
    </row>
    <row r="5" spans="1:19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  <c r="N6" s="492"/>
      <c r="O6" s="492"/>
      <c r="P6" s="492"/>
      <c r="Q6" s="492"/>
      <c r="R6" s="492"/>
      <c r="S6" s="492"/>
    </row>
    <row r="7" spans="1:19" ht="15.75">
      <c r="A7" s="28">
        <v>45972</v>
      </c>
      <c r="B7" s="29">
        <v>3352</v>
      </c>
      <c r="C7" s="29" t="s">
        <v>128</v>
      </c>
      <c r="D7" s="29">
        <v>318</v>
      </c>
      <c r="E7" s="29">
        <v>58</v>
      </c>
      <c r="F7" s="29">
        <v>288</v>
      </c>
      <c r="G7" s="29">
        <v>3404</v>
      </c>
      <c r="H7" s="29">
        <v>1128</v>
      </c>
      <c r="I7" s="25">
        <f>F7/(D7+E7)</f>
        <v>0.76595744680851063</v>
      </c>
      <c r="J7" s="25">
        <f>G7/F7</f>
        <v>11.819444444444445</v>
      </c>
      <c r="K7" s="25">
        <f>H7/(D7+E7)</f>
        <v>3</v>
      </c>
      <c r="N7" s="13" t="s">
        <v>49</v>
      </c>
      <c r="O7" s="14">
        <f>K2</f>
        <v>437</v>
      </c>
      <c r="P7" s="15">
        <f>I4</f>
        <v>339.16381294560153</v>
      </c>
      <c r="Q7" s="15">
        <f>J4</f>
        <v>3974.4731847840017</v>
      </c>
      <c r="R7" s="493">
        <f>Q7/P7</f>
        <v>11.718447054436988</v>
      </c>
      <c r="S7" s="493">
        <f>P7/O7</f>
        <v>0.77611856509290966</v>
      </c>
    </row>
    <row r="8" spans="1:19" ht="15.75">
      <c r="A8" s="24">
        <v>45976</v>
      </c>
      <c r="B8" s="23">
        <v>3352</v>
      </c>
      <c r="C8" s="23" t="s">
        <v>128</v>
      </c>
      <c r="D8" s="23">
        <v>331</v>
      </c>
      <c r="E8" s="23">
        <v>48</v>
      </c>
      <c r="F8" s="23">
        <v>298</v>
      </c>
      <c r="G8" s="23">
        <v>3462</v>
      </c>
      <c r="H8" s="29">
        <v>1137</v>
      </c>
      <c r="I8" s="25">
        <f>F8/(D8+E8)</f>
        <v>0.78627968337730869</v>
      </c>
      <c r="J8" s="25">
        <f>G8/F8</f>
        <v>11.617449664429531</v>
      </c>
      <c r="K8" s="25">
        <f>H8/(D8+E8)</f>
        <v>3</v>
      </c>
      <c r="N8" s="13" t="s">
        <v>50</v>
      </c>
      <c r="O8" s="14">
        <f>O7</f>
        <v>437</v>
      </c>
      <c r="P8" s="16">
        <f>O8*S7</f>
        <v>339.16381294560153</v>
      </c>
      <c r="Q8" s="16">
        <f>P8*R7</f>
        <v>3974.4731847840017</v>
      </c>
      <c r="R8" s="492"/>
      <c r="S8" s="492"/>
    </row>
    <row r="9" spans="1:19">
      <c r="A9" s="24"/>
      <c r="B9" s="23"/>
      <c r="C9" s="23"/>
      <c r="D9" s="23"/>
      <c r="E9" s="23"/>
      <c r="F9" s="23"/>
      <c r="G9" s="23"/>
      <c r="H9" s="23"/>
      <c r="I9" s="25"/>
      <c r="J9" s="25"/>
      <c r="K9" s="25"/>
      <c r="N9" s="494" t="s">
        <v>51</v>
      </c>
      <c r="O9" s="495"/>
      <c r="P9" s="495"/>
      <c r="Q9" s="495"/>
      <c r="R9" s="495"/>
      <c r="S9" s="496"/>
    </row>
    <row r="10" spans="1:19">
      <c r="A10" s="24"/>
      <c r="B10" s="23"/>
      <c r="C10" s="23"/>
      <c r="D10" s="23"/>
      <c r="E10" s="23"/>
      <c r="F10" s="23"/>
      <c r="G10" s="23"/>
      <c r="H10" s="23"/>
      <c r="I10" s="25"/>
      <c r="J10" s="25"/>
      <c r="K10" s="25"/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24"/>
      <c r="B11" s="23"/>
      <c r="C11" s="23"/>
      <c r="D11" s="23"/>
      <c r="E11" s="23"/>
      <c r="F11" s="23"/>
      <c r="G11" s="23"/>
      <c r="H11" s="23"/>
      <c r="I11" s="25"/>
      <c r="J11" s="25"/>
      <c r="K11" s="25"/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24"/>
      <c r="B12" s="23"/>
      <c r="C12" s="23"/>
      <c r="D12" s="23"/>
      <c r="E12" s="23"/>
      <c r="F12" s="23"/>
      <c r="G12" s="23"/>
      <c r="H12" s="23"/>
      <c r="I12" s="25"/>
      <c r="J12" s="25"/>
      <c r="K12" s="25"/>
      <c r="N12" s="17">
        <v>1</v>
      </c>
      <c r="O12" s="18">
        <v>44</v>
      </c>
      <c r="P12" s="19">
        <f>O12*R7</f>
        <v>515.61167039522741</v>
      </c>
      <c r="Q12" s="17">
        <v>3</v>
      </c>
      <c r="R12" s="18">
        <v>35</v>
      </c>
      <c r="S12" s="19">
        <f>R12*R7</f>
        <v>410.14564690529454</v>
      </c>
    </row>
    <row r="13" spans="1:19" ht="15.75">
      <c r="A13" s="24"/>
      <c r="B13" s="23"/>
      <c r="C13" s="23"/>
      <c r="D13" s="23"/>
      <c r="E13" s="23"/>
      <c r="F13" s="23"/>
      <c r="G13" s="23"/>
      <c r="H13" s="23"/>
      <c r="I13" s="25"/>
      <c r="J13" s="25"/>
      <c r="K13" s="25"/>
      <c r="N13" s="17">
        <v>2</v>
      </c>
      <c r="O13" s="18">
        <v>44</v>
      </c>
      <c r="P13" s="19">
        <f>O13*R7</f>
        <v>515.61167039522741</v>
      </c>
      <c r="Q13" s="17">
        <v>4</v>
      </c>
      <c r="R13" s="18">
        <v>18</v>
      </c>
      <c r="S13" s="19">
        <f>R7*R13</f>
        <v>210.93204697986579</v>
      </c>
    </row>
    <row r="14" spans="1:19" ht="15.75">
      <c r="N14" s="17">
        <v>3</v>
      </c>
      <c r="O14" s="18">
        <v>44</v>
      </c>
      <c r="P14" s="19">
        <f>R7*O14</f>
        <v>515.61167039522741</v>
      </c>
      <c r="Q14" s="17">
        <v>5</v>
      </c>
      <c r="R14" s="18">
        <v>0</v>
      </c>
      <c r="S14" s="19">
        <f>R14*R7</f>
        <v>0</v>
      </c>
    </row>
    <row r="15" spans="1:19" ht="15.75">
      <c r="N15" s="17">
        <v>4</v>
      </c>
      <c r="O15" s="18">
        <v>44</v>
      </c>
      <c r="P15" s="19">
        <f>R7*O15</f>
        <v>515.61167039522741</v>
      </c>
      <c r="Q15" s="17">
        <v>1</v>
      </c>
      <c r="R15" s="18">
        <v>0</v>
      </c>
      <c r="S15" s="19">
        <f>R7*R15</f>
        <v>0</v>
      </c>
    </row>
    <row r="16" spans="1:19" ht="15.75">
      <c r="N16" s="17">
        <v>5</v>
      </c>
      <c r="O16" s="18">
        <v>44</v>
      </c>
      <c r="P16" s="19">
        <f>R7*O16</f>
        <v>515.61167039522741</v>
      </c>
      <c r="Q16" s="17"/>
      <c r="R16" s="18">
        <v>0</v>
      </c>
      <c r="S16" s="19">
        <f>R7*R16</f>
        <v>0</v>
      </c>
    </row>
    <row r="17" spans="14:19" ht="15.75">
      <c r="N17" s="17">
        <v>6</v>
      </c>
      <c r="O17" s="18">
        <v>44</v>
      </c>
      <c r="P17" s="19">
        <f>R7*O17</f>
        <v>515.61167039522741</v>
      </c>
      <c r="Q17" s="17"/>
      <c r="R17" s="18">
        <v>0</v>
      </c>
      <c r="S17" s="19">
        <f>R7*R17</f>
        <v>0</v>
      </c>
    </row>
    <row r="18" spans="14:19" ht="15.75">
      <c r="N18" s="17">
        <v>7</v>
      </c>
      <c r="O18" s="18">
        <v>43</v>
      </c>
      <c r="P18" s="19">
        <f>R7*O18</f>
        <v>503.89322334079048</v>
      </c>
      <c r="Q18" s="17"/>
      <c r="R18" s="18">
        <v>0</v>
      </c>
      <c r="S18" s="19">
        <f>R7*R18</f>
        <v>0</v>
      </c>
    </row>
    <row r="19" spans="14:19" ht="15.75">
      <c r="N19" s="17">
        <v>8</v>
      </c>
      <c r="O19" s="18">
        <v>40</v>
      </c>
      <c r="P19" s="19">
        <f>R7*O19</f>
        <v>468.73788217747949</v>
      </c>
      <c r="Q19" s="17"/>
      <c r="R19" s="18">
        <v>0</v>
      </c>
      <c r="S19" s="19">
        <f>R7*R19</f>
        <v>0</v>
      </c>
    </row>
    <row r="20" spans="14:19" ht="15.75">
      <c r="N20" s="17">
        <v>9</v>
      </c>
      <c r="O20" s="18">
        <v>0</v>
      </c>
      <c r="P20" s="19">
        <f>R7*O20</f>
        <v>0</v>
      </c>
      <c r="Q20" s="17"/>
      <c r="R20" s="18">
        <v>0</v>
      </c>
      <c r="S20" s="19">
        <f>R7*R20</f>
        <v>0</v>
      </c>
    </row>
    <row r="21" spans="14:19" ht="15.75">
      <c r="N21" s="20" t="s">
        <v>53</v>
      </c>
      <c r="O21" s="18">
        <v>0</v>
      </c>
      <c r="P21" s="19">
        <f>R7*O21</f>
        <v>0</v>
      </c>
      <c r="Q21" s="17"/>
      <c r="R21" s="18"/>
      <c r="S21" s="19">
        <f>R7*R21</f>
        <v>0</v>
      </c>
    </row>
    <row r="22" spans="14:19" ht="15.75">
      <c r="N22" s="13" t="s">
        <v>59</v>
      </c>
      <c r="O22" s="21">
        <f>P8-O12-O13-O14-O15-O16-O17-O18-O19-O20-O21</f>
        <v>-7.8361870543984651</v>
      </c>
      <c r="P22" s="21">
        <f>Q8-P12-P13-P14-P15-P16-P17-P18-P19-P20-P21</f>
        <v>-91.827943105633324</v>
      </c>
      <c r="Q22" s="13" t="s">
        <v>59</v>
      </c>
      <c r="R22" s="21">
        <f>P8-R12-R13-R14-R15-R16-R17-R18-R19-R20-R21</f>
        <v>286.16381294560153</v>
      </c>
      <c r="S22" s="21">
        <f>Q8-S12-S13-S14-S15-S16-S17-S18-S19-S20-S21</f>
        <v>3353.3954908988412</v>
      </c>
    </row>
    <row r="23" spans="14:19">
      <c r="N23" s="13" t="s">
        <v>60</v>
      </c>
      <c r="O23" s="16">
        <f>O12+O13+O14+O15+O16+O17+O18+O19+O20+O21</f>
        <v>347</v>
      </c>
      <c r="P23" s="16">
        <f>P12+P13+P14+P15+P16+P17+P18+P19+P20+P21</f>
        <v>4066.3011278896347</v>
      </c>
      <c r="Q23" s="13" t="s">
        <v>60</v>
      </c>
      <c r="R23" s="16">
        <f>R12+R13+R14+R15+R16+R17+R18+R19+R20+R21</f>
        <v>53</v>
      </c>
      <c r="S23" s="16">
        <f>S12+S13+S14+S15+S16+S17+S18+S19+S20+S21</f>
        <v>621.07769388516033</v>
      </c>
    </row>
  </sheetData>
  <sheetProtection password="CC6F" sheet="1" objects="1" scenarios="1"/>
  <mergeCells count="34">
    <mergeCell ref="S5:S6"/>
    <mergeCell ref="R7:R8"/>
    <mergeCell ref="S7:S8"/>
    <mergeCell ref="N9:S9"/>
    <mergeCell ref="N10:P10"/>
    <mergeCell ref="Q10:S10"/>
    <mergeCell ref="N5:N6"/>
    <mergeCell ref="O5:O6"/>
    <mergeCell ref="P5:P6"/>
    <mergeCell ref="Q5:Q6"/>
    <mergeCell ref="R5:R6"/>
    <mergeCell ref="I5:I6"/>
    <mergeCell ref="J5:J6"/>
    <mergeCell ref="K5:K6"/>
    <mergeCell ref="C4:D4"/>
    <mergeCell ref="E4:F4"/>
    <mergeCell ref="G4:H4"/>
    <mergeCell ref="F5:G5"/>
    <mergeCell ref="H5:H6"/>
    <mergeCell ref="A5:A6"/>
    <mergeCell ref="B5:B6"/>
    <mergeCell ref="C5:C6"/>
    <mergeCell ref="D5:D6"/>
    <mergeCell ref="E5:E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K14"/>
  <sheetViews>
    <sheetView workbookViewId="0">
      <selection activeCell="K9" sqref="K9"/>
    </sheetView>
  </sheetViews>
  <sheetFormatPr defaultRowHeight="15"/>
  <cols>
    <col min="1" max="1" width="10.140625" bestFit="1" customWidth="1"/>
  </cols>
  <sheetData>
    <row r="1" spans="1:11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1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434</v>
      </c>
    </row>
    <row r="3" spans="1:11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1">
      <c r="A4" s="2" t="s">
        <v>67</v>
      </c>
      <c r="B4" s="2" t="s">
        <v>64</v>
      </c>
      <c r="C4" s="500">
        <f>AVERAGEA(I7:I50)</f>
        <v>0.7714266942610295</v>
      </c>
      <c r="D4" s="501"/>
      <c r="E4" s="500">
        <f>AVERAGEA(J7:J50)</f>
        <v>12.364118719946941</v>
      </c>
      <c r="F4" s="501"/>
      <c r="G4" s="500">
        <f>AVERAGEA(K7:K50)</f>
        <v>3</v>
      </c>
      <c r="H4" s="501"/>
      <c r="I4" s="3">
        <f>C4*K2</f>
        <v>334.79918530928683</v>
      </c>
      <c r="J4" s="3">
        <f>I4*E4</f>
        <v>4139.4968745055385</v>
      </c>
      <c r="K4" s="3">
        <f>K2*G4</f>
        <v>1302</v>
      </c>
    </row>
    <row r="5" spans="1:11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</row>
    <row r="6" spans="1:11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</row>
    <row r="7" spans="1:11">
      <c r="A7" s="28">
        <v>46046</v>
      </c>
      <c r="B7" s="29">
        <v>3362</v>
      </c>
      <c r="C7" s="29" t="s">
        <v>61</v>
      </c>
      <c r="D7" s="29">
        <v>178</v>
      </c>
      <c r="E7" s="29">
        <v>41</v>
      </c>
      <c r="F7" s="29">
        <v>163</v>
      </c>
      <c r="G7" s="29">
        <v>2154</v>
      </c>
      <c r="H7" s="29">
        <v>657</v>
      </c>
      <c r="I7" s="25">
        <f>F7/(D7+E7)</f>
        <v>0.74429223744292239</v>
      </c>
      <c r="J7" s="25">
        <f>G7/F7</f>
        <v>13.214723926380367</v>
      </c>
      <c r="K7" s="25">
        <f>H7/(D7+E7)</f>
        <v>3</v>
      </c>
    </row>
    <row r="8" spans="1:11">
      <c r="A8" s="24">
        <v>46046</v>
      </c>
      <c r="B8" s="23">
        <v>3364</v>
      </c>
      <c r="C8" s="23" t="s">
        <v>61</v>
      </c>
      <c r="D8" s="23">
        <v>114</v>
      </c>
      <c r="E8" s="23">
        <v>25</v>
      </c>
      <c r="F8" s="23">
        <v>111</v>
      </c>
      <c r="G8" s="23">
        <v>1278</v>
      </c>
      <c r="H8" s="23">
        <v>417</v>
      </c>
      <c r="I8" s="25">
        <f>F8/(D8+E8)</f>
        <v>0.79856115107913672</v>
      </c>
      <c r="J8" s="25">
        <f>G8/F8</f>
        <v>11.513513513513514</v>
      </c>
      <c r="K8" s="25">
        <f>H8/(D8+E8)</f>
        <v>3</v>
      </c>
    </row>
    <row r="9" spans="1:11">
      <c r="A9" s="24"/>
      <c r="B9" s="23"/>
      <c r="C9" s="23"/>
      <c r="D9" s="23"/>
      <c r="E9" s="23"/>
      <c r="F9" s="23"/>
      <c r="G9" s="23"/>
      <c r="H9" s="23"/>
      <c r="I9" s="25"/>
      <c r="J9" s="25"/>
      <c r="K9" s="25"/>
    </row>
    <row r="10" spans="1:11">
      <c r="A10" s="24"/>
      <c r="B10" s="23"/>
      <c r="C10" s="23"/>
      <c r="D10" s="23"/>
      <c r="E10" s="23"/>
      <c r="F10" s="23"/>
      <c r="G10" s="23"/>
      <c r="H10" s="23"/>
      <c r="I10" s="25"/>
      <c r="J10" s="25"/>
      <c r="K10" s="25"/>
    </row>
    <row r="11" spans="1:11">
      <c r="A11" s="24"/>
      <c r="B11" s="23"/>
      <c r="C11" s="23"/>
      <c r="D11" s="23"/>
      <c r="E11" s="23"/>
      <c r="F11" s="23"/>
      <c r="G11" s="23"/>
      <c r="H11" s="23"/>
      <c r="I11" s="25"/>
      <c r="J11" s="25"/>
      <c r="K11" s="25"/>
    </row>
    <row r="12" spans="1:11">
      <c r="A12" s="24"/>
      <c r="B12" s="23"/>
      <c r="C12" s="23"/>
      <c r="D12" s="23"/>
      <c r="E12" s="23"/>
      <c r="F12" s="23"/>
      <c r="G12" s="23"/>
      <c r="H12" s="23"/>
      <c r="I12" s="25"/>
      <c r="J12" s="25"/>
      <c r="K12" s="25"/>
    </row>
    <row r="13" spans="1:11">
      <c r="A13" s="24"/>
      <c r="B13" s="23"/>
      <c r="C13" s="23"/>
      <c r="D13" s="23"/>
      <c r="E13" s="23"/>
      <c r="F13" s="23"/>
      <c r="G13" s="23"/>
      <c r="H13" s="23"/>
      <c r="I13" s="25"/>
      <c r="J13" s="25"/>
      <c r="K13" s="25"/>
    </row>
    <row r="14" spans="1:11">
      <c r="A14" s="24"/>
      <c r="B14" s="23"/>
      <c r="C14" s="23"/>
      <c r="D14" s="23"/>
      <c r="E14" s="23"/>
      <c r="F14" s="23"/>
      <c r="G14" s="23"/>
      <c r="H14" s="23"/>
      <c r="I14" s="25"/>
      <c r="J14" s="25"/>
      <c r="K14" s="25"/>
    </row>
  </sheetData>
  <sheetProtection password="CC6F" sheet="1" objects="1" scenarios="1"/>
  <mergeCells count="23">
    <mergeCell ref="I5:I6"/>
    <mergeCell ref="J5:J6"/>
    <mergeCell ref="K5:K6"/>
    <mergeCell ref="C4:D4"/>
    <mergeCell ref="E4:F4"/>
    <mergeCell ref="G4:H4"/>
    <mergeCell ref="F5:G5"/>
    <mergeCell ref="H5:H6"/>
    <mergeCell ref="A5:A6"/>
    <mergeCell ref="B5:B6"/>
    <mergeCell ref="C5:C6"/>
    <mergeCell ref="D5:D6"/>
    <mergeCell ref="E5:E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S23"/>
  <sheetViews>
    <sheetView workbookViewId="0">
      <selection activeCell="K7" sqref="K7:K8"/>
    </sheetView>
  </sheetViews>
  <sheetFormatPr defaultRowHeight="15"/>
  <cols>
    <col min="1" max="1" width="10.140625" bestFit="1" customWidth="1"/>
  </cols>
  <sheetData>
    <row r="1" spans="1:19">
      <c r="A1" s="505" t="s">
        <v>0</v>
      </c>
      <c r="B1" s="495"/>
      <c r="C1" s="495"/>
      <c r="D1" s="495"/>
      <c r="E1" s="495"/>
      <c r="F1" s="496"/>
      <c r="G1" s="506"/>
      <c r="H1" s="496"/>
      <c r="I1" s="507" t="s">
        <v>85</v>
      </c>
      <c r="J1" s="495"/>
      <c r="K1" s="496"/>
    </row>
    <row r="2" spans="1:19">
      <c r="A2" s="497" t="s">
        <v>1</v>
      </c>
      <c r="B2" s="497" t="s">
        <v>2</v>
      </c>
      <c r="C2" s="494" t="s">
        <v>3</v>
      </c>
      <c r="D2" s="495"/>
      <c r="E2" s="495"/>
      <c r="F2" s="495"/>
      <c r="G2" s="495"/>
      <c r="H2" s="496"/>
      <c r="I2" s="507" t="s">
        <v>4</v>
      </c>
      <c r="J2" s="496"/>
      <c r="K2" s="12">
        <v>437</v>
      </c>
    </row>
    <row r="3" spans="1:19">
      <c r="A3" s="492"/>
      <c r="B3" s="492"/>
      <c r="C3" s="494" t="s">
        <v>5</v>
      </c>
      <c r="D3" s="496"/>
      <c r="E3" s="494" t="s">
        <v>6</v>
      </c>
      <c r="F3" s="496"/>
      <c r="G3" s="494" t="s">
        <v>7</v>
      </c>
      <c r="H3" s="496"/>
      <c r="I3" s="1" t="s">
        <v>8</v>
      </c>
      <c r="J3" s="1" t="s">
        <v>9</v>
      </c>
      <c r="K3" s="1" t="s">
        <v>10</v>
      </c>
    </row>
    <row r="4" spans="1:19">
      <c r="A4" s="2" t="s">
        <v>67</v>
      </c>
      <c r="B4" s="2" t="s">
        <v>79</v>
      </c>
      <c r="C4" s="500">
        <f>AVERAGEA(I7:I50)</f>
        <v>0.73832329866812629</v>
      </c>
      <c r="D4" s="501"/>
      <c r="E4" s="500">
        <f>AVERAGEA(J7:J50)</f>
        <v>12.290636042402827</v>
      </c>
      <c r="F4" s="501"/>
      <c r="G4" s="500">
        <f>AVERAGEA(K7:K50)</f>
        <v>3</v>
      </c>
      <c r="H4" s="501"/>
      <c r="I4" s="3">
        <f>C4*K2</f>
        <v>322.64728151797118</v>
      </c>
      <c r="J4" s="3">
        <f>I4*E4</f>
        <v>3965.540307208068</v>
      </c>
      <c r="K4" s="3">
        <f>K2*G4</f>
        <v>1311</v>
      </c>
    </row>
    <row r="5" spans="1:19">
      <c r="A5" s="504" t="s">
        <v>13</v>
      </c>
      <c r="B5" s="504" t="s">
        <v>14</v>
      </c>
      <c r="C5" s="504" t="s">
        <v>15</v>
      </c>
      <c r="D5" s="504" t="s">
        <v>16</v>
      </c>
      <c r="E5" s="504" t="s">
        <v>17</v>
      </c>
      <c r="F5" s="502" t="s">
        <v>18</v>
      </c>
      <c r="G5" s="496"/>
      <c r="H5" s="503" t="s">
        <v>19</v>
      </c>
      <c r="I5" s="498" t="s">
        <v>5</v>
      </c>
      <c r="J5" s="498" t="s">
        <v>6</v>
      </c>
      <c r="K5" s="498" t="s">
        <v>7</v>
      </c>
      <c r="N5" s="497" t="s">
        <v>44</v>
      </c>
      <c r="O5" s="491" t="s">
        <v>45</v>
      </c>
      <c r="P5" s="491" t="s">
        <v>46</v>
      </c>
      <c r="Q5" s="491" t="s">
        <v>21</v>
      </c>
      <c r="R5" s="491" t="s">
        <v>47</v>
      </c>
      <c r="S5" s="491" t="s">
        <v>48</v>
      </c>
    </row>
    <row r="6" spans="1:19">
      <c r="A6" s="499"/>
      <c r="B6" s="499"/>
      <c r="C6" s="499"/>
      <c r="D6" s="499"/>
      <c r="E6" s="499"/>
      <c r="F6" s="26" t="s">
        <v>20</v>
      </c>
      <c r="G6" s="27" t="s">
        <v>21</v>
      </c>
      <c r="H6" s="499"/>
      <c r="I6" s="499"/>
      <c r="J6" s="499"/>
      <c r="K6" s="499"/>
      <c r="N6" s="492"/>
      <c r="O6" s="492"/>
      <c r="P6" s="492"/>
      <c r="Q6" s="492"/>
      <c r="R6" s="492"/>
      <c r="S6" s="492"/>
    </row>
    <row r="7" spans="1:19" ht="15.75">
      <c r="A7" s="28">
        <v>46023</v>
      </c>
      <c r="B7" s="29">
        <v>3362</v>
      </c>
      <c r="C7" s="29" t="s">
        <v>128</v>
      </c>
      <c r="D7" s="29">
        <v>208</v>
      </c>
      <c r="E7" s="29">
        <v>53</v>
      </c>
      <c r="F7" s="29">
        <v>190</v>
      </c>
      <c r="G7" s="29">
        <v>2375</v>
      </c>
      <c r="H7" s="29">
        <v>783</v>
      </c>
      <c r="I7" s="25">
        <f>F7/(D7+E7)</f>
        <v>0.72796934865900387</v>
      </c>
      <c r="J7" s="25">
        <f>G7/F7</f>
        <v>12.5</v>
      </c>
      <c r="K7" s="25">
        <f>H7/(D7+E7)</f>
        <v>3</v>
      </c>
      <c r="N7" s="13" t="s">
        <v>49</v>
      </c>
      <c r="O7" s="14">
        <f>K2</f>
        <v>437</v>
      </c>
      <c r="P7" s="15">
        <f>I4</f>
        <v>322.64728151797118</v>
      </c>
      <c r="Q7" s="15">
        <f>J4</f>
        <v>3965.540307208068</v>
      </c>
      <c r="R7" s="493">
        <f>Q7/P7</f>
        <v>12.290636042402827</v>
      </c>
      <c r="S7" s="493">
        <f>P7/O7</f>
        <v>0.73832329866812629</v>
      </c>
    </row>
    <row r="8" spans="1:19" ht="15.75">
      <c r="A8" s="24">
        <v>46034</v>
      </c>
      <c r="B8" s="23">
        <v>3362</v>
      </c>
      <c r="C8" s="23" t="s">
        <v>128</v>
      </c>
      <c r="D8" s="23">
        <v>333</v>
      </c>
      <c r="E8" s="23">
        <v>45</v>
      </c>
      <c r="F8" s="23">
        <v>283</v>
      </c>
      <c r="G8" s="23">
        <v>3419</v>
      </c>
      <c r="H8" s="23">
        <v>1134</v>
      </c>
      <c r="I8" s="25">
        <f>F8/(D8+E8)</f>
        <v>0.74867724867724872</v>
      </c>
      <c r="J8" s="25">
        <f>G8/F8</f>
        <v>12.081272084805654</v>
      </c>
      <c r="K8" s="25">
        <f>H8/(D8+E8)</f>
        <v>3</v>
      </c>
      <c r="N8" s="13" t="s">
        <v>50</v>
      </c>
      <c r="O8" s="14">
        <f>O7</f>
        <v>437</v>
      </c>
      <c r="P8" s="16">
        <f>O8*S7</f>
        <v>322.64728151797118</v>
      </c>
      <c r="Q8" s="16">
        <f>P8*R7</f>
        <v>3965.540307208068</v>
      </c>
      <c r="R8" s="492"/>
      <c r="S8" s="492"/>
    </row>
    <row r="9" spans="1:19">
      <c r="A9" s="24"/>
      <c r="B9" s="23"/>
      <c r="C9" s="23"/>
      <c r="D9" s="23"/>
      <c r="E9" s="23"/>
      <c r="F9" s="23"/>
      <c r="G9" s="23"/>
      <c r="H9" s="23"/>
      <c r="I9" s="25"/>
      <c r="J9" s="25"/>
      <c r="K9" s="25"/>
      <c r="N9" s="494" t="s">
        <v>51</v>
      </c>
      <c r="O9" s="495"/>
      <c r="P9" s="495"/>
      <c r="Q9" s="495"/>
      <c r="R9" s="495"/>
      <c r="S9" s="496"/>
    </row>
    <row r="10" spans="1:19">
      <c r="A10" s="24"/>
      <c r="B10" s="23"/>
      <c r="C10" s="23"/>
      <c r="D10" s="23"/>
      <c r="E10" s="23"/>
      <c r="F10" s="23"/>
      <c r="G10" s="23"/>
      <c r="H10" s="23"/>
      <c r="I10" s="25"/>
      <c r="J10" s="25"/>
      <c r="K10" s="25"/>
      <c r="N10" s="494" t="s">
        <v>52</v>
      </c>
      <c r="O10" s="495"/>
      <c r="P10" s="496"/>
      <c r="Q10" s="494" t="s">
        <v>53</v>
      </c>
      <c r="R10" s="495"/>
      <c r="S10" s="496"/>
    </row>
    <row r="11" spans="1:19">
      <c r="A11" s="24"/>
      <c r="B11" s="23"/>
      <c r="C11" s="23"/>
      <c r="D11" s="23"/>
      <c r="E11" s="23"/>
      <c r="F11" s="23"/>
      <c r="G11" s="23"/>
      <c r="H11" s="23"/>
      <c r="I11" s="25"/>
      <c r="J11" s="25"/>
      <c r="K11" s="25"/>
      <c r="N11" s="13" t="s">
        <v>54</v>
      </c>
      <c r="O11" s="13" t="s">
        <v>55</v>
      </c>
      <c r="P11" s="13" t="s">
        <v>56</v>
      </c>
      <c r="Q11" s="13" t="s">
        <v>57</v>
      </c>
      <c r="R11" s="13" t="s">
        <v>55</v>
      </c>
      <c r="S11" s="13" t="s">
        <v>58</v>
      </c>
    </row>
    <row r="12" spans="1:19" ht="15.75">
      <c r="A12" s="24"/>
      <c r="B12" s="23"/>
      <c r="C12" s="23"/>
      <c r="D12" s="23"/>
      <c r="E12" s="23"/>
      <c r="F12" s="23"/>
      <c r="G12" s="23"/>
      <c r="H12" s="23"/>
      <c r="I12" s="25"/>
      <c r="J12" s="25"/>
      <c r="K12" s="25"/>
      <c r="N12" s="17">
        <v>1</v>
      </c>
      <c r="O12" s="18">
        <v>44</v>
      </c>
      <c r="P12" s="19">
        <f>O12*R7</f>
        <v>540.78798586572441</v>
      </c>
      <c r="Q12" s="17">
        <v>3</v>
      </c>
      <c r="R12" s="18">
        <v>35</v>
      </c>
      <c r="S12" s="19">
        <f>R12*R7</f>
        <v>430.17226148409895</v>
      </c>
    </row>
    <row r="13" spans="1:19" ht="15.75">
      <c r="A13" s="24"/>
      <c r="B13" s="23"/>
      <c r="C13" s="23"/>
      <c r="D13" s="23"/>
      <c r="E13" s="23"/>
      <c r="F13" s="23"/>
      <c r="G13" s="23"/>
      <c r="H13" s="23"/>
      <c r="I13" s="25"/>
      <c r="J13" s="25"/>
      <c r="K13" s="25"/>
      <c r="N13" s="17">
        <v>2</v>
      </c>
      <c r="O13" s="18">
        <v>44</v>
      </c>
      <c r="P13" s="19">
        <f>O13*R7</f>
        <v>540.78798586572441</v>
      </c>
      <c r="Q13" s="17">
        <v>4</v>
      </c>
      <c r="R13" s="18">
        <v>18</v>
      </c>
      <c r="S13" s="19">
        <f>R7*R13</f>
        <v>221.23144876325088</v>
      </c>
    </row>
    <row r="14" spans="1:19" ht="15.75">
      <c r="N14" s="17">
        <v>3</v>
      </c>
      <c r="O14" s="18">
        <v>44</v>
      </c>
      <c r="P14" s="19">
        <f>R7*O14</f>
        <v>540.78798586572441</v>
      </c>
      <c r="Q14" s="17">
        <v>5</v>
      </c>
      <c r="R14" s="18">
        <v>0</v>
      </c>
      <c r="S14" s="19">
        <f>R14*R7</f>
        <v>0</v>
      </c>
    </row>
    <row r="15" spans="1:19" ht="15.75">
      <c r="N15" s="17">
        <v>4</v>
      </c>
      <c r="O15" s="18">
        <v>44</v>
      </c>
      <c r="P15" s="19">
        <f>R7*O15</f>
        <v>540.78798586572441</v>
      </c>
      <c r="Q15" s="17">
        <v>1</v>
      </c>
      <c r="R15" s="18">
        <v>0</v>
      </c>
      <c r="S15" s="19">
        <f>R7*R15</f>
        <v>0</v>
      </c>
    </row>
    <row r="16" spans="1:19" ht="15.75">
      <c r="N16" s="17">
        <v>5</v>
      </c>
      <c r="O16" s="18">
        <v>44</v>
      </c>
      <c r="P16" s="19">
        <f>R7*O16</f>
        <v>540.78798586572441</v>
      </c>
      <c r="Q16" s="17"/>
      <c r="R16" s="18">
        <v>0</v>
      </c>
      <c r="S16" s="19">
        <f>R7*R16</f>
        <v>0</v>
      </c>
    </row>
    <row r="17" spans="14:19" ht="15.75">
      <c r="N17" s="17">
        <v>6</v>
      </c>
      <c r="O17" s="18">
        <v>44</v>
      </c>
      <c r="P17" s="19">
        <f>R7*O17</f>
        <v>540.78798586572441</v>
      </c>
      <c r="Q17" s="17"/>
      <c r="R17" s="18">
        <v>0</v>
      </c>
      <c r="S17" s="19">
        <f>R7*R17</f>
        <v>0</v>
      </c>
    </row>
    <row r="18" spans="14:19" ht="15.75">
      <c r="N18" s="17">
        <v>7</v>
      </c>
      <c r="O18" s="18">
        <v>43</v>
      </c>
      <c r="P18" s="19">
        <f>R7*O18</f>
        <v>528.49734982332154</v>
      </c>
      <c r="Q18" s="17"/>
      <c r="R18" s="18">
        <v>0</v>
      </c>
      <c r="S18" s="19">
        <f>R7*R18</f>
        <v>0</v>
      </c>
    </row>
    <row r="19" spans="14:19" ht="15.75">
      <c r="N19" s="17">
        <v>8</v>
      </c>
      <c r="O19" s="18">
        <v>40</v>
      </c>
      <c r="P19" s="19">
        <f>R7*O19</f>
        <v>491.62544169611306</v>
      </c>
      <c r="Q19" s="17"/>
      <c r="R19" s="18">
        <v>0</v>
      </c>
      <c r="S19" s="19">
        <f>R7*R19</f>
        <v>0</v>
      </c>
    </row>
    <row r="20" spans="14:19" ht="15.75">
      <c r="N20" s="17">
        <v>9</v>
      </c>
      <c r="O20" s="18">
        <v>0</v>
      </c>
      <c r="P20" s="19">
        <f>R7*O20</f>
        <v>0</v>
      </c>
      <c r="Q20" s="17"/>
      <c r="R20" s="18">
        <v>0</v>
      </c>
      <c r="S20" s="19">
        <f>R7*R20</f>
        <v>0</v>
      </c>
    </row>
    <row r="21" spans="14:19" ht="15.75">
      <c r="N21" s="20" t="s">
        <v>53</v>
      </c>
      <c r="O21" s="18">
        <v>0</v>
      </c>
      <c r="P21" s="19">
        <f>R7*O21</f>
        <v>0</v>
      </c>
      <c r="Q21" s="17"/>
      <c r="R21" s="18"/>
      <c r="S21" s="19">
        <f>R7*R21</f>
        <v>0</v>
      </c>
    </row>
    <row r="22" spans="14:19" ht="15.75">
      <c r="N22" s="13" t="s">
        <v>59</v>
      </c>
      <c r="O22" s="21">
        <f>P8-O12-O13-O14-O15-O16-O17-O18-O19-O20-O21</f>
        <v>-24.35271848202882</v>
      </c>
      <c r="P22" s="21">
        <f>Q8-P12-P13-P14-P15-P16-P17-P18-P19-P20-P21</f>
        <v>-299.31039950571244</v>
      </c>
      <c r="Q22" s="13" t="s">
        <v>59</v>
      </c>
      <c r="R22" s="21">
        <f>P8-R12-R13-R14-R15-R16-R17-R18-R19-R20-R21</f>
        <v>269.64728151797118</v>
      </c>
      <c r="S22" s="21">
        <f>Q8-S12-S13-S14-S15-S16-S17-S18-S19-S20-S21</f>
        <v>3314.1365969607182</v>
      </c>
    </row>
    <row r="23" spans="14:19">
      <c r="N23" s="13" t="s">
        <v>60</v>
      </c>
      <c r="O23" s="16">
        <f>O12+O13+O14+O15+O16+O17+O18+O19+O20+O21</f>
        <v>347</v>
      </c>
      <c r="P23" s="16">
        <f>P12+P13+P14+P15+P16+P17+P18+P19+P20+P21</f>
        <v>4264.8507067137807</v>
      </c>
      <c r="Q23" s="13" t="s">
        <v>60</v>
      </c>
      <c r="R23" s="16">
        <f>R12+R13+R14+R15+R16+R17+R18+R19+R20+R21</f>
        <v>53</v>
      </c>
      <c r="S23" s="16">
        <f>S12+S13+S14+S15+S16+S17+S18+S19+S20+S21</f>
        <v>651.40371024734986</v>
      </c>
    </row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O5:O6"/>
    <mergeCell ref="N10:P10"/>
    <mergeCell ref="Q10:S10"/>
    <mergeCell ref="Q5:Q6"/>
    <mergeCell ref="R5:R6"/>
    <mergeCell ref="S5:S6"/>
    <mergeCell ref="R7:R8"/>
    <mergeCell ref="S7:S8"/>
    <mergeCell ref="N9:S9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K27"/>
  <sheetViews>
    <sheetView workbookViewId="0">
      <selection activeCell="K7" sqref="K7:K8"/>
    </sheetView>
  </sheetViews>
  <sheetFormatPr defaultRowHeight="15"/>
  <cols>
    <col min="1" max="1" width="10.140625" bestFit="1" customWidth="1"/>
  </cols>
  <sheetData>
    <row r="1" spans="1:11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1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200</v>
      </c>
    </row>
    <row r="3" spans="1:11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1">
      <c r="A4" s="73" t="s">
        <v>67</v>
      </c>
      <c r="B4" s="73" t="s">
        <v>102</v>
      </c>
      <c r="C4" s="510">
        <f>AVERAGEA(I7:I44)</f>
        <v>0.75384402615639945</v>
      </c>
      <c r="D4" s="511"/>
      <c r="E4" s="510">
        <f>AVERAGEA(J7:J44)</f>
        <v>11.587006626332469</v>
      </c>
      <c r="F4" s="511"/>
      <c r="G4" s="510">
        <f>AVERAGEA(K7:K44)</f>
        <v>3</v>
      </c>
      <c r="H4" s="511"/>
      <c r="I4" s="74">
        <f>C4*K2</f>
        <v>150.76880523127988</v>
      </c>
      <c r="J4" s="74">
        <f>I4*E4</f>
        <v>1746.9591452590694</v>
      </c>
      <c r="K4" s="74">
        <f>K2*G4</f>
        <v>600</v>
      </c>
    </row>
    <row r="5" spans="1:1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</row>
    <row r="6" spans="1:11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</row>
    <row r="7" spans="1:11">
      <c r="A7" s="77">
        <v>46029</v>
      </c>
      <c r="B7" s="78">
        <v>3360</v>
      </c>
      <c r="C7" s="78" t="s">
        <v>128</v>
      </c>
      <c r="D7" s="78">
        <v>317</v>
      </c>
      <c r="E7" s="78">
        <v>57</v>
      </c>
      <c r="F7" s="78">
        <v>299</v>
      </c>
      <c r="G7" s="78">
        <v>3266</v>
      </c>
      <c r="H7" s="78">
        <v>1122</v>
      </c>
      <c r="I7" s="79">
        <f>F7/(D7+E7)</f>
        <v>0.79946524064171121</v>
      </c>
      <c r="J7" s="79">
        <f>G7/F7</f>
        <v>10.923076923076923</v>
      </c>
      <c r="K7" s="79">
        <f>H7/(D7+E7)</f>
        <v>3</v>
      </c>
    </row>
    <row r="8" spans="1:11">
      <c r="A8" s="80">
        <v>46040</v>
      </c>
      <c r="B8" s="256">
        <v>3360</v>
      </c>
      <c r="C8" s="307" t="s">
        <v>128</v>
      </c>
      <c r="D8" s="81">
        <v>300</v>
      </c>
      <c r="E8" s="81">
        <v>77</v>
      </c>
      <c r="F8" s="81">
        <v>267</v>
      </c>
      <c r="G8" s="81">
        <v>3271</v>
      </c>
      <c r="H8" s="81">
        <v>1131</v>
      </c>
      <c r="I8" s="79">
        <f>F8/(D8+E8)</f>
        <v>0.70822281167108758</v>
      </c>
      <c r="J8" s="79">
        <f>G8/F8</f>
        <v>12.250936329588015</v>
      </c>
      <c r="K8" s="79">
        <f>H8/(D8+E8)</f>
        <v>3</v>
      </c>
    </row>
    <row r="9" spans="1:11">
      <c r="A9" s="80"/>
      <c r="B9" s="247"/>
      <c r="C9" s="295"/>
      <c r="D9" s="81"/>
      <c r="E9" s="81"/>
      <c r="F9" s="81"/>
      <c r="G9" s="81"/>
      <c r="H9" s="81"/>
      <c r="I9" s="79"/>
      <c r="J9" s="79"/>
      <c r="K9" s="79"/>
    </row>
    <row r="10" spans="1:11">
      <c r="A10" s="80"/>
      <c r="B10" s="248"/>
      <c r="C10" s="281"/>
      <c r="D10" s="81"/>
      <c r="E10" s="81"/>
      <c r="F10" s="81"/>
      <c r="G10" s="81"/>
      <c r="H10" s="81"/>
      <c r="I10" s="79"/>
      <c r="J10" s="79"/>
      <c r="K10" s="79"/>
    </row>
    <row r="11" spans="1:11">
      <c r="A11" s="80"/>
      <c r="B11" s="249"/>
      <c r="C11" s="284"/>
      <c r="D11" s="81"/>
      <c r="E11" s="81"/>
      <c r="F11" s="81"/>
      <c r="G11" s="81"/>
      <c r="H11" s="81"/>
      <c r="I11" s="79"/>
      <c r="J11" s="79"/>
      <c r="K11" s="79"/>
    </row>
    <row r="12" spans="1:11">
      <c r="A12" s="80"/>
      <c r="B12" s="251"/>
      <c r="C12" s="286"/>
      <c r="D12" s="81"/>
      <c r="E12" s="81"/>
      <c r="F12" s="81"/>
      <c r="G12" s="81"/>
      <c r="H12" s="81"/>
      <c r="I12" s="79"/>
      <c r="J12" s="79"/>
      <c r="K12" s="79"/>
    </row>
    <row r="13" spans="1:11">
      <c r="A13" s="80"/>
      <c r="B13" s="252"/>
      <c r="C13" s="252"/>
      <c r="D13" s="81"/>
      <c r="E13" s="81"/>
      <c r="F13" s="81"/>
      <c r="G13" s="81"/>
      <c r="H13" s="81"/>
      <c r="I13" s="79"/>
      <c r="J13" s="79"/>
      <c r="K13" s="79"/>
    </row>
    <row r="14" spans="1:11">
      <c r="A14" s="80"/>
      <c r="B14" s="253"/>
      <c r="C14" s="253"/>
      <c r="D14" s="81"/>
      <c r="E14" s="81"/>
      <c r="F14" s="81"/>
      <c r="G14" s="81"/>
      <c r="H14" s="81"/>
      <c r="I14" s="79"/>
      <c r="J14" s="79"/>
      <c r="K14" s="79"/>
    </row>
    <row r="15" spans="1:11">
      <c r="A15" s="80"/>
      <c r="B15" s="241"/>
      <c r="C15" s="241"/>
      <c r="D15" s="81"/>
      <c r="E15" s="81"/>
      <c r="F15" s="81"/>
      <c r="G15" s="81"/>
      <c r="H15" s="81"/>
      <c r="I15" s="79"/>
      <c r="J15" s="79"/>
      <c r="K15" s="79"/>
    </row>
    <row r="16" spans="1:11">
      <c r="A16" s="80"/>
      <c r="B16" s="153"/>
      <c r="C16" s="170"/>
      <c r="D16" s="81"/>
      <c r="E16" s="81"/>
      <c r="F16" s="81"/>
      <c r="G16" s="81"/>
      <c r="H16" s="81"/>
      <c r="I16" s="79"/>
      <c r="J16" s="79"/>
      <c r="K16" s="79"/>
    </row>
    <row r="17" spans="1:11">
      <c r="A17" s="80"/>
      <c r="B17" s="81"/>
      <c r="C17" s="155"/>
      <c r="D17" s="81"/>
      <c r="E17" s="81"/>
      <c r="F17" s="81"/>
      <c r="G17" s="81"/>
      <c r="H17" s="81"/>
      <c r="I17" s="79"/>
      <c r="J17" s="79"/>
      <c r="K17" s="79"/>
    </row>
    <row r="18" spans="1:11">
      <c r="A18" s="80"/>
      <c r="B18" s="138"/>
      <c r="C18" s="155"/>
      <c r="D18" s="81"/>
      <c r="E18" s="81"/>
      <c r="F18" s="81"/>
      <c r="G18" s="81"/>
      <c r="H18" s="81"/>
      <c r="I18" s="79"/>
      <c r="J18" s="79"/>
      <c r="K18" s="79"/>
    </row>
    <row r="19" spans="1:11">
      <c r="A19" s="80"/>
      <c r="B19" s="81"/>
      <c r="C19" s="155"/>
      <c r="D19" s="81"/>
      <c r="E19" s="81"/>
      <c r="F19" s="81"/>
      <c r="G19" s="81"/>
      <c r="H19" s="81"/>
      <c r="I19" s="79"/>
      <c r="J19" s="79"/>
      <c r="K19" s="79"/>
    </row>
    <row r="20" spans="1:11">
      <c r="A20" s="80"/>
      <c r="B20" s="81"/>
      <c r="C20" s="157"/>
      <c r="D20" s="81"/>
      <c r="E20" s="81"/>
      <c r="F20" s="81"/>
      <c r="G20" s="81"/>
      <c r="H20" s="81"/>
      <c r="I20" s="79"/>
      <c r="J20" s="79"/>
      <c r="K20" s="79"/>
    </row>
    <row r="21" spans="1:11">
      <c r="A21" s="80"/>
      <c r="B21" s="157"/>
      <c r="C21" s="157"/>
      <c r="D21" s="81"/>
      <c r="E21" s="81"/>
      <c r="F21" s="81"/>
      <c r="G21" s="81"/>
      <c r="H21" s="81"/>
      <c r="I21" s="79"/>
      <c r="J21" s="79"/>
      <c r="K21" s="79"/>
    </row>
    <row r="22" spans="1:11">
      <c r="A22" s="80"/>
      <c r="B22" s="145"/>
      <c r="C22" s="158"/>
      <c r="D22" s="81"/>
      <c r="E22" s="81"/>
      <c r="F22" s="81"/>
      <c r="G22" s="81"/>
      <c r="H22" s="81"/>
      <c r="I22" s="79"/>
      <c r="J22" s="79"/>
      <c r="K22" s="79"/>
    </row>
    <row r="23" spans="1:11">
      <c r="A23" s="80"/>
      <c r="B23" s="130"/>
      <c r="C23" s="146"/>
      <c r="D23" s="81"/>
      <c r="E23" s="81"/>
      <c r="F23" s="81"/>
      <c r="G23" s="81"/>
      <c r="H23" s="81"/>
      <c r="I23" s="79"/>
      <c r="J23" s="79"/>
      <c r="K23" s="79"/>
    </row>
    <row r="24" spans="1:11">
      <c r="A24" s="80"/>
      <c r="B24" s="81"/>
      <c r="C24" s="148"/>
      <c r="D24" s="81"/>
      <c r="E24" s="81"/>
      <c r="F24" s="81"/>
      <c r="G24" s="81"/>
      <c r="H24" s="81"/>
      <c r="I24" s="79"/>
      <c r="J24" s="79"/>
      <c r="K24" s="79"/>
    </row>
    <row r="25" spans="1:1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</row>
    <row r="26" spans="1:1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</row>
    <row r="27" spans="1:1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</row>
  </sheetData>
  <sheetProtection password="CC6F" sheet="1" objects="1" scenarios="1"/>
  <mergeCells count="23">
    <mergeCell ref="I5:I6"/>
    <mergeCell ref="J5:J6"/>
    <mergeCell ref="K5:K6"/>
    <mergeCell ref="C4:D4"/>
    <mergeCell ref="E4:F4"/>
    <mergeCell ref="G4:H4"/>
    <mergeCell ref="F5:G5"/>
    <mergeCell ref="H5:H6"/>
    <mergeCell ref="A5:A6"/>
    <mergeCell ref="B5:B6"/>
    <mergeCell ref="C5:C6"/>
    <mergeCell ref="D5:D6"/>
    <mergeCell ref="E5:E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K27"/>
  <sheetViews>
    <sheetView workbookViewId="0">
      <selection activeCell="K9" sqref="K9"/>
    </sheetView>
  </sheetViews>
  <sheetFormatPr defaultRowHeight="15"/>
  <cols>
    <col min="1" max="1" width="10.140625" bestFit="1" customWidth="1"/>
  </cols>
  <sheetData>
    <row r="1" spans="1:11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1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200</v>
      </c>
    </row>
    <row r="3" spans="1:11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1">
      <c r="A4" s="73" t="s">
        <v>67</v>
      </c>
      <c r="B4" s="73" t="s">
        <v>30</v>
      </c>
      <c r="C4" s="510">
        <f>AVERAGEA(I7:I44)</f>
        <v>0.73584748584748583</v>
      </c>
      <c r="D4" s="511"/>
      <c r="E4" s="510">
        <f>AVERAGEA(J7:J44)</f>
        <v>11.809044882320745</v>
      </c>
      <c r="F4" s="511"/>
      <c r="G4" s="510">
        <f>AVERAGEA(K7:K44)</f>
        <v>3</v>
      </c>
      <c r="H4" s="511"/>
      <c r="I4" s="74">
        <f>C4*K2</f>
        <v>147.16949716949716</v>
      </c>
      <c r="J4" s="74">
        <f>I4*E4</f>
        <v>1737.9311973831677</v>
      </c>
      <c r="K4" s="74">
        <f>K2*G4</f>
        <v>600</v>
      </c>
    </row>
    <row r="5" spans="1:1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</row>
    <row r="6" spans="1:11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</row>
    <row r="7" spans="1:11">
      <c r="A7" s="77">
        <v>46028</v>
      </c>
      <c r="B7" s="78">
        <v>3340</v>
      </c>
      <c r="C7" s="78" t="s">
        <v>128</v>
      </c>
      <c r="D7" s="78">
        <v>230</v>
      </c>
      <c r="E7" s="78">
        <v>56</v>
      </c>
      <c r="F7" s="78">
        <v>203</v>
      </c>
      <c r="G7" s="78">
        <v>2522</v>
      </c>
      <c r="H7" s="78">
        <v>858</v>
      </c>
      <c r="I7" s="79">
        <f>F7/(D7+E7)</f>
        <v>0.70979020979020979</v>
      </c>
      <c r="J7" s="79">
        <f>G7/F7</f>
        <v>12.423645320197044</v>
      </c>
      <c r="K7" s="79">
        <f>H7/(D7+E7)</f>
        <v>3</v>
      </c>
    </row>
    <row r="8" spans="1:11">
      <c r="A8" s="80">
        <v>46039</v>
      </c>
      <c r="B8" s="256">
        <v>3340</v>
      </c>
      <c r="C8" s="306" t="s">
        <v>128</v>
      </c>
      <c r="D8" s="81">
        <v>304</v>
      </c>
      <c r="E8" s="81">
        <v>74</v>
      </c>
      <c r="F8" s="81">
        <v>288</v>
      </c>
      <c r="G8" s="81">
        <v>3224</v>
      </c>
      <c r="H8" s="81">
        <v>1134</v>
      </c>
      <c r="I8" s="79">
        <f>F8/(D8+E8)</f>
        <v>0.76190476190476186</v>
      </c>
      <c r="J8" s="79">
        <f>G8/F8</f>
        <v>11.194444444444445</v>
      </c>
      <c r="K8" s="79">
        <f>H8/(D8+E8)</f>
        <v>3</v>
      </c>
    </row>
    <row r="9" spans="1:11">
      <c r="A9" s="80"/>
      <c r="B9" s="258"/>
      <c r="C9" s="280"/>
      <c r="D9" s="81"/>
      <c r="E9" s="81"/>
      <c r="F9" s="81"/>
      <c r="G9" s="81"/>
      <c r="H9" s="81"/>
      <c r="I9" s="79"/>
      <c r="J9" s="79"/>
      <c r="K9" s="79"/>
    </row>
    <row r="10" spans="1:11">
      <c r="A10" s="80"/>
      <c r="B10" s="248"/>
      <c r="C10" s="286"/>
      <c r="D10" s="81"/>
      <c r="E10" s="81"/>
      <c r="F10" s="81"/>
      <c r="G10" s="81"/>
      <c r="H10" s="81"/>
      <c r="I10" s="79"/>
      <c r="J10" s="79"/>
      <c r="K10" s="79"/>
    </row>
    <row r="11" spans="1:11">
      <c r="A11" s="80"/>
      <c r="B11" s="249"/>
      <c r="C11" s="249"/>
      <c r="D11" s="81"/>
      <c r="E11" s="81"/>
      <c r="F11" s="81"/>
      <c r="G11" s="81"/>
      <c r="H11" s="81"/>
      <c r="I11" s="79"/>
      <c r="J11" s="79"/>
      <c r="K11" s="79"/>
    </row>
    <row r="12" spans="1:11">
      <c r="A12" s="80"/>
      <c r="B12" s="251"/>
      <c r="C12" s="251"/>
      <c r="D12" s="81"/>
      <c r="E12" s="81"/>
      <c r="F12" s="81"/>
      <c r="G12" s="81"/>
      <c r="H12" s="81"/>
      <c r="I12" s="79"/>
      <c r="J12" s="79"/>
      <c r="K12" s="79"/>
    </row>
    <row r="13" spans="1:11">
      <c r="A13" s="80"/>
      <c r="B13" s="252"/>
      <c r="C13" s="252"/>
      <c r="D13" s="81"/>
      <c r="E13" s="81"/>
      <c r="F13" s="81"/>
      <c r="G13" s="81"/>
      <c r="H13" s="81"/>
      <c r="I13" s="79"/>
      <c r="J13" s="79"/>
      <c r="K13" s="79"/>
    </row>
    <row r="14" spans="1:11">
      <c r="A14" s="80"/>
      <c r="B14" s="253"/>
      <c r="C14" s="253"/>
      <c r="D14" s="81"/>
      <c r="E14" s="81"/>
      <c r="F14" s="81"/>
      <c r="G14" s="81"/>
      <c r="H14" s="81"/>
      <c r="I14" s="79"/>
      <c r="J14" s="79"/>
      <c r="K14" s="79"/>
    </row>
    <row r="15" spans="1:11">
      <c r="A15" s="80"/>
      <c r="B15" s="241"/>
      <c r="C15" s="241"/>
      <c r="D15" s="81"/>
      <c r="E15" s="81"/>
      <c r="F15" s="81"/>
      <c r="G15" s="81"/>
      <c r="H15" s="81"/>
      <c r="I15" s="79"/>
      <c r="J15" s="79"/>
      <c r="K15" s="79"/>
    </row>
    <row r="16" spans="1:11">
      <c r="A16" s="80"/>
      <c r="B16" s="153"/>
      <c r="C16" s="170"/>
      <c r="D16" s="81"/>
      <c r="E16" s="81"/>
      <c r="F16" s="81"/>
      <c r="G16" s="81"/>
      <c r="H16" s="81"/>
      <c r="I16" s="79"/>
      <c r="J16" s="79"/>
      <c r="K16" s="79"/>
    </row>
    <row r="17" spans="1:11">
      <c r="A17" s="80"/>
      <c r="B17" s="81"/>
      <c r="C17" s="155"/>
      <c r="D17" s="81"/>
      <c r="E17" s="81"/>
      <c r="F17" s="81"/>
      <c r="G17" s="81"/>
      <c r="H17" s="81"/>
      <c r="I17" s="79"/>
      <c r="J17" s="79"/>
      <c r="K17" s="79"/>
    </row>
    <row r="18" spans="1:11">
      <c r="A18" s="80"/>
      <c r="B18" s="138"/>
      <c r="C18" s="155"/>
      <c r="D18" s="81"/>
      <c r="E18" s="81"/>
      <c r="F18" s="81"/>
      <c r="G18" s="81"/>
      <c r="H18" s="81"/>
      <c r="I18" s="79"/>
      <c r="J18" s="79"/>
      <c r="K18" s="79"/>
    </row>
    <row r="19" spans="1:11">
      <c r="A19" s="80"/>
      <c r="B19" s="81"/>
      <c r="C19" s="155"/>
      <c r="D19" s="81"/>
      <c r="E19" s="81"/>
      <c r="F19" s="81"/>
      <c r="G19" s="81"/>
      <c r="H19" s="81"/>
      <c r="I19" s="79"/>
      <c r="J19" s="79"/>
      <c r="K19" s="79"/>
    </row>
    <row r="20" spans="1:11">
      <c r="A20" s="80"/>
      <c r="B20" s="81"/>
      <c r="C20" s="157"/>
      <c r="D20" s="81"/>
      <c r="E20" s="81"/>
      <c r="F20" s="81"/>
      <c r="G20" s="81"/>
      <c r="H20" s="81"/>
      <c r="I20" s="79"/>
      <c r="J20" s="79"/>
      <c r="K20" s="79"/>
    </row>
    <row r="21" spans="1:11">
      <c r="A21" s="80"/>
      <c r="B21" s="157"/>
      <c r="C21" s="157"/>
      <c r="D21" s="81"/>
      <c r="E21" s="81"/>
      <c r="F21" s="81"/>
      <c r="G21" s="81"/>
      <c r="H21" s="81"/>
      <c r="I21" s="79"/>
      <c r="J21" s="79"/>
      <c r="K21" s="79"/>
    </row>
    <row r="22" spans="1:11">
      <c r="A22" s="80"/>
      <c r="B22" s="145"/>
      <c r="C22" s="158"/>
      <c r="D22" s="81"/>
      <c r="E22" s="81"/>
      <c r="F22" s="81"/>
      <c r="G22" s="81"/>
      <c r="H22" s="81"/>
      <c r="I22" s="79"/>
      <c r="J22" s="79"/>
      <c r="K22" s="79"/>
    </row>
    <row r="23" spans="1:11">
      <c r="A23" s="80"/>
      <c r="B23" s="130"/>
      <c r="C23" s="146"/>
      <c r="D23" s="81"/>
      <c r="E23" s="81"/>
      <c r="F23" s="81"/>
      <c r="G23" s="81"/>
      <c r="H23" s="81"/>
      <c r="I23" s="79"/>
      <c r="J23" s="79"/>
      <c r="K23" s="79"/>
    </row>
    <row r="24" spans="1:11">
      <c r="A24" s="80"/>
      <c r="B24" s="81"/>
      <c r="C24" s="148"/>
      <c r="D24" s="81"/>
      <c r="E24" s="81"/>
      <c r="F24" s="81"/>
      <c r="G24" s="81"/>
      <c r="H24" s="81"/>
      <c r="I24" s="79"/>
      <c r="J24" s="79"/>
      <c r="K24" s="79"/>
    </row>
    <row r="25" spans="1:1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</row>
    <row r="26" spans="1:1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</row>
    <row r="27" spans="1:1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</row>
  </sheetData>
  <sheetProtection password="CC6F" sheet="1" objects="1" scenarios="1"/>
  <mergeCells count="23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A5:A6"/>
    <mergeCell ref="B5:B6"/>
    <mergeCell ref="C5:C6"/>
    <mergeCell ref="D5:D6"/>
    <mergeCell ref="E5:E6"/>
    <mergeCell ref="I5:I6"/>
    <mergeCell ref="J5:J6"/>
    <mergeCell ref="K5:K6"/>
    <mergeCell ref="C4:D4"/>
    <mergeCell ref="E4:F4"/>
    <mergeCell ref="G4:H4"/>
    <mergeCell ref="F5:G5"/>
    <mergeCell ref="H5:H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K25"/>
  <sheetViews>
    <sheetView workbookViewId="0">
      <selection activeCell="D12" sqref="D12"/>
    </sheetView>
  </sheetViews>
  <sheetFormatPr defaultRowHeight="15"/>
  <cols>
    <col min="1" max="1" width="10.140625" bestFit="1" customWidth="1"/>
  </cols>
  <sheetData>
    <row r="1" spans="1:11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1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101</v>
      </c>
    </row>
    <row r="3" spans="1:11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1">
      <c r="A4" s="73" t="s">
        <v>126</v>
      </c>
      <c r="B4" s="73" t="s">
        <v>94</v>
      </c>
      <c r="C4" s="510">
        <f>AVERAGEA(I7:I37)</f>
        <v>0.40845070422535212</v>
      </c>
      <c r="D4" s="511"/>
      <c r="E4" s="510">
        <f>AVERAGEA(J7:J37)</f>
        <v>14.862068965517242</v>
      </c>
      <c r="F4" s="511"/>
      <c r="G4" s="510">
        <f>AVERAGEA(K7:K37)</f>
        <v>3.704225352112676</v>
      </c>
      <c r="H4" s="511"/>
      <c r="I4" s="74">
        <f>C4*K2</f>
        <v>41.253521126760567</v>
      </c>
      <c r="J4" s="74">
        <f>I4*E4</f>
        <v>613.11267605633816</v>
      </c>
      <c r="K4" s="74">
        <f>K2*G4</f>
        <v>374.12676056338029</v>
      </c>
    </row>
    <row r="5" spans="1:1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</row>
    <row r="6" spans="1:11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</row>
    <row r="7" spans="1:11">
      <c r="A7" s="77">
        <v>46219</v>
      </c>
      <c r="B7" s="78">
        <v>1284</v>
      </c>
      <c r="C7" s="78" t="s">
        <v>62</v>
      </c>
      <c r="D7" s="78">
        <v>63</v>
      </c>
      <c r="E7" s="78">
        <v>8</v>
      </c>
      <c r="F7" s="78">
        <v>29</v>
      </c>
      <c r="G7" s="78">
        <v>431</v>
      </c>
      <c r="H7" s="78">
        <v>263</v>
      </c>
      <c r="I7" s="79">
        <f>F7/(D7+E7)</f>
        <v>0.40845070422535212</v>
      </c>
      <c r="J7" s="79">
        <f>G7/F7</f>
        <v>14.862068965517242</v>
      </c>
      <c r="K7" s="79">
        <f>H7/(D7+E7)</f>
        <v>3.704225352112676</v>
      </c>
    </row>
    <row r="8" spans="1:11">
      <c r="A8" s="80"/>
      <c r="B8" s="435"/>
      <c r="C8" s="435"/>
      <c r="D8" s="81"/>
      <c r="E8" s="81"/>
      <c r="F8" s="81"/>
      <c r="G8" s="81"/>
      <c r="H8" s="81"/>
      <c r="I8" s="79"/>
      <c r="J8" s="79"/>
      <c r="K8" s="79"/>
    </row>
    <row r="9" spans="1:11">
      <c r="A9" s="80"/>
      <c r="B9" s="404"/>
      <c r="C9" s="404"/>
      <c r="D9" s="81"/>
      <c r="E9" s="81"/>
      <c r="F9" s="81"/>
      <c r="G9" s="81"/>
      <c r="H9" s="81"/>
      <c r="I9" s="79"/>
      <c r="J9" s="79"/>
      <c r="K9" s="79"/>
    </row>
    <row r="10" spans="1:11">
      <c r="A10" s="80"/>
      <c r="B10" s="409"/>
      <c r="C10" s="409"/>
      <c r="D10" s="81"/>
      <c r="E10" s="81"/>
      <c r="F10" s="81"/>
      <c r="G10" s="81"/>
      <c r="H10" s="81"/>
      <c r="I10" s="79"/>
      <c r="J10" s="79"/>
      <c r="K10" s="79"/>
    </row>
    <row r="11" spans="1:11">
      <c r="A11" s="188"/>
      <c r="B11" s="240"/>
      <c r="C11" s="240"/>
      <c r="D11" s="81"/>
      <c r="E11" s="81"/>
      <c r="F11" s="81"/>
      <c r="G11" s="81"/>
      <c r="H11" s="81"/>
      <c r="I11" s="79"/>
      <c r="J11" s="79"/>
      <c r="K11" s="79"/>
    </row>
    <row r="12" spans="1:11">
      <c r="A12" s="80"/>
      <c r="B12" s="190"/>
      <c r="C12" s="190"/>
      <c r="D12" s="81"/>
      <c r="E12" s="81"/>
      <c r="F12" s="81"/>
      <c r="G12" s="81"/>
      <c r="H12" s="81"/>
      <c r="I12" s="79"/>
      <c r="J12" s="79"/>
      <c r="K12" s="79"/>
    </row>
    <row r="13" spans="1:11">
      <c r="A13" s="80"/>
      <c r="B13" s="191"/>
      <c r="C13" s="191"/>
      <c r="D13" s="81"/>
      <c r="E13" s="81"/>
      <c r="F13" s="81"/>
      <c r="G13" s="81"/>
      <c r="H13" s="81"/>
      <c r="I13" s="79"/>
      <c r="J13" s="79"/>
      <c r="K13" s="79"/>
    </row>
    <row r="14" spans="1:11">
      <c r="A14" s="180"/>
      <c r="B14" s="194"/>
      <c r="C14" s="194"/>
      <c r="D14" s="81"/>
      <c r="E14" s="81"/>
      <c r="F14" s="81"/>
      <c r="G14" s="81"/>
      <c r="H14" s="81"/>
      <c r="I14" s="79"/>
      <c r="J14" s="79"/>
      <c r="K14" s="79"/>
    </row>
    <row r="15" spans="1:11">
      <c r="A15" s="80"/>
      <c r="B15" s="195"/>
      <c r="C15" s="195"/>
      <c r="D15" s="81"/>
      <c r="E15" s="81"/>
      <c r="F15" s="81"/>
      <c r="G15" s="81"/>
      <c r="H15" s="81"/>
      <c r="I15" s="79"/>
      <c r="J15" s="79"/>
      <c r="K15" s="79"/>
    </row>
    <row r="16" spans="1:11">
      <c r="A16" s="80"/>
      <c r="B16" s="81"/>
      <c r="C16" s="156"/>
      <c r="D16" s="81"/>
      <c r="E16" s="81"/>
      <c r="F16" s="81"/>
      <c r="G16" s="81"/>
      <c r="H16" s="81"/>
      <c r="I16" s="79"/>
      <c r="J16" s="79"/>
      <c r="K16" s="79"/>
    </row>
    <row r="17" spans="1:11">
      <c r="A17" s="80"/>
      <c r="B17" s="81"/>
      <c r="C17" s="157"/>
      <c r="D17" s="81"/>
      <c r="E17" s="81"/>
      <c r="F17" s="81"/>
      <c r="G17" s="81"/>
      <c r="H17" s="81"/>
      <c r="I17" s="79"/>
      <c r="J17" s="79"/>
      <c r="K17" s="79"/>
    </row>
    <row r="18" spans="1:11">
      <c r="A18" s="80"/>
      <c r="B18" s="81"/>
      <c r="C18" s="158"/>
      <c r="D18" s="81"/>
      <c r="E18" s="81"/>
      <c r="F18" s="81"/>
      <c r="G18" s="81"/>
      <c r="H18" s="81"/>
      <c r="I18" s="79"/>
      <c r="J18" s="79"/>
      <c r="K18" s="79"/>
    </row>
    <row r="19" spans="1:11">
      <c r="A19" s="80"/>
      <c r="B19" s="81"/>
      <c r="C19" s="149"/>
      <c r="D19" s="81"/>
      <c r="E19" s="81"/>
      <c r="F19" s="81"/>
      <c r="G19" s="81"/>
      <c r="H19" s="81"/>
      <c r="I19" s="79"/>
      <c r="J19" s="79"/>
      <c r="K19" s="79"/>
    </row>
    <row r="20" spans="1:11">
      <c r="A20" s="80"/>
      <c r="B20" s="81"/>
      <c r="C20" s="132"/>
      <c r="D20" s="81"/>
      <c r="E20" s="81"/>
      <c r="F20" s="81"/>
      <c r="G20" s="81"/>
      <c r="H20" s="81"/>
      <c r="I20" s="79"/>
      <c r="J20" s="79"/>
      <c r="K20" s="79"/>
    </row>
    <row r="21" spans="1:1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</row>
    <row r="22" spans="1:11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</row>
    <row r="23" spans="1:11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</row>
    <row r="24" spans="1:11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</row>
    <row r="25" spans="1:1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</row>
  </sheetData>
  <sheetProtection password="CC6F" sheet="1" objects="1" scenarios="1"/>
  <mergeCells count="23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A5:A6"/>
    <mergeCell ref="B5:B6"/>
    <mergeCell ref="C5:C6"/>
    <mergeCell ref="D5:D6"/>
    <mergeCell ref="E5:E6"/>
    <mergeCell ref="I5:I6"/>
    <mergeCell ref="J5:J6"/>
    <mergeCell ref="K5:K6"/>
    <mergeCell ref="C4:D4"/>
    <mergeCell ref="E4:F4"/>
    <mergeCell ref="G4:H4"/>
    <mergeCell ref="F5:G5"/>
    <mergeCell ref="H5:H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K25"/>
  <sheetViews>
    <sheetView workbookViewId="0">
      <selection activeCell="E30" sqref="E30"/>
    </sheetView>
  </sheetViews>
  <sheetFormatPr defaultRowHeight="15"/>
  <cols>
    <col min="1" max="1" width="10.7109375" bestFit="1" customWidth="1"/>
  </cols>
  <sheetData>
    <row r="1" spans="1:11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1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101</v>
      </c>
    </row>
    <row r="3" spans="1:11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1">
      <c r="A4" s="73" t="s">
        <v>126</v>
      </c>
      <c r="B4" s="73" t="s">
        <v>95</v>
      </c>
      <c r="C4" s="510">
        <f>AVERAGEA(I7:I37)</f>
        <v>0.59712276214833759</v>
      </c>
      <c r="D4" s="511"/>
      <c r="E4" s="510">
        <f>AVERAGEA(J7:J37)</f>
        <v>14.692210602235846</v>
      </c>
      <c r="F4" s="511"/>
      <c r="G4" s="510">
        <f>AVERAGEA(K7:K37)</f>
        <v>3.1426470588235293</v>
      </c>
      <c r="H4" s="511"/>
      <c r="I4" s="74">
        <f>C4*K2</f>
        <v>60.309398976982095</v>
      </c>
      <c r="J4" s="74">
        <f>I4*E4</f>
        <v>886.07839106408801</v>
      </c>
      <c r="K4" s="74">
        <f>K2*G4</f>
        <v>317.40735294117644</v>
      </c>
    </row>
    <row r="5" spans="1:1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</row>
    <row r="6" spans="1:11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</row>
    <row r="7" spans="1:11">
      <c r="A7" s="77">
        <v>46207</v>
      </c>
      <c r="B7" s="78" t="s">
        <v>127</v>
      </c>
      <c r="C7" s="78" t="s">
        <v>65</v>
      </c>
      <c r="D7" s="78">
        <v>74</v>
      </c>
      <c r="E7" s="78">
        <v>11</v>
      </c>
      <c r="F7" s="78">
        <v>47</v>
      </c>
      <c r="G7" s="78">
        <v>692</v>
      </c>
      <c r="H7" s="78">
        <v>258</v>
      </c>
      <c r="I7" s="79">
        <f>F7/(D7+E7)</f>
        <v>0.55294117647058827</v>
      </c>
      <c r="J7" s="79">
        <f>G7/F7</f>
        <v>14.723404255319149</v>
      </c>
      <c r="K7" s="79">
        <f>H7/(D7+E7)</f>
        <v>3.0352941176470587</v>
      </c>
    </row>
    <row r="8" spans="1:11">
      <c r="A8" s="80">
        <v>46214</v>
      </c>
      <c r="B8" s="435" t="s">
        <v>127</v>
      </c>
      <c r="C8" s="435" t="s">
        <v>65</v>
      </c>
      <c r="D8" s="81">
        <v>78</v>
      </c>
      <c r="E8" s="81">
        <v>14</v>
      </c>
      <c r="F8" s="81">
        <v>59</v>
      </c>
      <c r="G8" s="81">
        <v>865</v>
      </c>
      <c r="H8" s="81">
        <v>299</v>
      </c>
      <c r="I8" s="79">
        <f>F8/(D8+E8)</f>
        <v>0.64130434782608692</v>
      </c>
      <c r="J8" s="79">
        <f>G8/F8</f>
        <v>14.661016949152541</v>
      </c>
      <c r="K8" s="79">
        <f>H8/(D8+E8)</f>
        <v>3.25</v>
      </c>
    </row>
    <row r="9" spans="1:11">
      <c r="A9" s="80"/>
      <c r="B9" s="404"/>
      <c r="C9" s="404"/>
      <c r="D9" s="81"/>
      <c r="E9" s="81"/>
      <c r="F9" s="81"/>
      <c r="G9" s="81"/>
      <c r="H9" s="81"/>
      <c r="I9" s="79"/>
      <c r="J9" s="79"/>
      <c r="K9" s="79"/>
    </row>
    <row r="10" spans="1:11">
      <c r="A10" s="80"/>
      <c r="B10" s="409"/>
      <c r="C10" s="409"/>
      <c r="D10" s="81"/>
      <c r="E10" s="81"/>
      <c r="F10" s="81"/>
      <c r="G10" s="81"/>
      <c r="H10" s="81"/>
      <c r="I10" s="79"/>
      <c r="J10" s="79"/>
      <c r="K10" s="79"/>
    </row>
    <row r="11" spans="1:11">
      <c r="A11" s="188"/>
      <c r="B11" s="240"/>
      <c r="C11" s="240"/>
      <c r="D11" s="81"/>
      <c r="E11" s="81"/>
      <c r="F11" s="81"/>
      <c r="G11" s="81"/>
      <c r="H11" s="81"/>
      <c r="I11" s="79"/>
      <c r="J11" s="79"/>
      <c r="K11" s="79"/>
    </row>
    <row r="12" spans="1:11">
      <c r="A12" s="80"/>
      <c r="B12" s="190"/>
      <c r="C12" s="190"/>
      <c r="D12" s="81"/>
      <c r="E12" s="81"/>
      <c r="F12" s="81"/>
      <c r="G12" s="81"/>
      <c r="H12" s="81"/>
      <c r="I12" s="79"/>
      <c r="J12" s="79"/>
      <c r="K12" s="79"/>
    </row>
    <row r="13" spans="1:11">
      <c r="A13" s="80"/>
      <c r="B13" s="191"/>
      <c r="C13" s="191"/>
      <c r="D13" s="81"/>
      <c r="E13" s="81"/>
      <c r="F13" s="81"/>
      <c r="G13" s="81"/>
      <c r="H13" s="81"/>
      <c r="I13" s="79"/>
      <c r="J13" s="79"/>
      <c r="K13" s="79"/>
    </row>
    <row r="14" spans="1:11">
      <c r="A14" s="180"/>
      <c r="B14" s="194"/>
      <c r="C14" s="194"/>
      <c r="D14" s="81"/>
      <c r="E14" s="81"/>
      <c r="F14" s="81"/>
      <c r="G14" s="81"/>
      <c r="H14" s="81"/>
      <c r="I14" s="79"/>
      <c r="J14" s="79"/>
      <c r="K14" s="79"/>
    </row>
    <row r="15" spans="1:11">
      <c r="A15" s="80"/>
      <c r="B15" s="195"/>
      <c r="C15" s="195"/>
      <c r="D15" s="81"/>
      <c r="E15" s="81"/>
      <c r="F15" s="81"/>
      <c r="G15" s="81"/>
      <c r="H15" s="81"/>
      <c r="I15" s="79"/>
      <c r="J15" s="79"/>
      <c r="K15" s="79"/>
    </row>
    <row r="16" spans="1:11">
      <c r="A16" s="80"/>
      <c r="B16" s="81"/>
      <c r="C16" s="156"/>
      <c r="D16" s="81"/>
      <c r="E16" s="81"/>
      <c r="F16" s="81"/>
      <c r="G16" s="81"/>
      <c r="H16" s="81"/>
      <c r="I16" s="79"/>
      <c r="J16" s="79"/>
      <c r="K16" s="79"/>
    </row>
    <row r="17" spans="1:11">
      <c r="A17" s="80"/>
      <c r="B17" s="81"/>
      <c r="C17" s="157"/>
      <c r="D17" s="81"/>
      <c r="E17" s="81"/>
      <c r="F17" s="81"/>
      <c r="G17" s="81"/>
      <c r="H17" s="81"/>
      <c r="I17" s="79"/>
      <c r="J17" s="79"/>
      <c r="K17" s="79"/>
    </row>
    <row r="18" spans="1:11">
      <c r="A18" s="80"/>
      <c r="B18" s="81"/>
      <c r="C18" s="158"/>
      <c r="D18" s="81"/>
      <c r="E18" s="81"/>
      <c r="F18" s="81"/>
      <c r="G18" s="81"/>
      <c r="H18" s="81"/>
      <c r="I18" s="79"/>
      <c r="J18" s="79"/>
      <c r="K18" s="79"/>
    </row>
    <row r="19" spans="1:11">
      <c r="A19" s="80"/>
      <c r="B19" s="81"/>
      <c r="C19" s="149"/>
      <c r="D19" s="81"/>
      <c r="E19" s="81"/>
      <c r="F19" s="81"/>
      <c r="G19" s="81"/>
      <c r="H19" s="81"/>
      <c r="I19" s="79"/>
      <c r="J19" s="79"/>
      <c r="K19" s="79"/>
    </row>
    <row r="20" spans="1:11">
      <c r="A20" s="80"/>
      <c r="B20" s="81"/>
      <c r="C20" s="132"/>
      <c r="D20" s="81"/>
      <c r="E20" s="81"/>
      <c r="F20" s="81"/>
      <c r="G20" s="81"/>
      <c r="H20" s="81"/>
      <c r="I20" s="79"/>
      <c r="J20" s="79"/>
      <c r="K20" s="79"/>
    </row>
    <row r="21" spans="1:1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</row>
    <row r="22" spans="1:11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</row>
    <row r="23" spans="1:11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</row>
    <row r="24" spans="1:11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</row>
    <row r="25" spans="1:1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</row>
  </sheetData>
  <sheetProtection password="CC6F" sheet="1" objects="1" scenarios="1"/>
  <mergeCells count="23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A5:A6"/>
    <mergeCell ref="B5:B6"/>
    <mergeCell ref="C5:C6"/>
    <mergeCell ref="D5:D6"/>
    <mergeCell ref="E5:E6"/>
    <mergeCell ref="I5:I6"/>
    <mergeCell ref="J5:J6"/>
    <mergeCell ref="K5:K6"/>
    <mergeCell ref="C4:D4"/>
    <mergeCell ref="E4:F4"/>
    <mergeCell ref="G4:H4"/>
    <mergeCell ref="F5:G5"/>
    <mergeCell ref="H5:H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K25"/>
  <sheetViews>
    <sheetView workbookViewId="0">
      <selection activeCell="G28" sqref="G28"/>
    </sheetView>
  </sheetViews>
  <sheetFormatPr defaultRowHeight="15"/>
  <cols>
    <col min="1" max="1" width="10.140625" bestFit="1" customWidth="1"/>
  </cols>
  <sheetData>
    <row r="1" spans="1:11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1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101</v>
      </c>
    </row>
    <row r="3" spans="1:11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1">
      <c r="A4" s="73" t="s">
        <v>126</v>
      </c>
      <c r="B4" s="73" t="s">
        <v>24</v>
      </c>
      <c r="C4" s="510">
        <f>AVERAGEA(I7:I37)</f>
        <v>0.63207547169811318</v>
      </c>
      <c r="D4" s="511"/>
      <c r="E4" s="510">
        <f>AVERAGEA(J7:J37)</f>
        <v>15.134328358208956</v>
      </c>
      <c r="F4" s="511"/>
      <c r="G4" s="510">
        <f>AVERAGEA(K7:K37)</f>
        <v>2.7641509433962264</v>
      </c>
      <c r="H4" s="511"/>
      <c r="I4" s="74">
        <f>C4*K2</f>
        <v>63.839622641509429</v>
      </c>
      <c r="J4" s="74">
        <f>I4*E4</f>
        <v>966.16981132075466</v>
      </c>
      <c r="K4" s="74">
        <f>K2*G4</f>
        <v>279.17924528301887</v>
      </c>
    </row>
    <row r="5" spans="1:1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</row>
    <row r="6" spans="1:11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</row>
    <row r="7" spans="1:11">
      <c r="A7" s="77">
        <v>46220</v>
      </c>
      <c r="B7" s="78">
        <v>1278</v>
      </c>
      <c r="C7" s="78" t="s">
        <v>62</v>
      </c>
      <c r="D7" s="78">
        <v>89</v>
      </c>
      <c r="E7" s="78">
        <v>17</v>
      </c>
      <c r="F7" s="78">
        <v>67</v>
      </c>
      <c r="G7" s="78">
        <v>1014</v>
      </c>
      <c r="H7" s="78">
        <v>293</v>
      </c>
      <c r="I7" s="79">
        <f>F7/(D7+E7)</f>
        <v>0.63207547169811318</v>
      </c>
      <c r="J7" s="79">
        <f>G7/F7</f>
        <v>15.134328358208956</v>
      </c>
      <c r="K7" s="79">
        <f>H7/(D7+E7)</f>
        <v>2.7641509433962264</v>
      </c>
    </row>
    <row r="8" spans="1:11">
      <c r="A8" s="80"/>
      <c r="B8" s="435"/>
      <c r="C8" s="435"/>
      <c r="D8" s="81"/>
      <c r="E8" s="81"/>
      <c r="F8" s="81"/>
      <c r="G8" s="81"/>
      <c r="H8" s="81"/>
      <c r="I8" s="79"/>
      <c r="J8" s="79"/>
      <c r="K8" s="79"/>
    </row>
    <row r="9" spans="1:11">
      <c r="A9" s="80"/>
      <c r="B9" s="404"/>
      <c r="C9" s="404"/>
      <c r="D9" s="81"/>
      <c r="E9" s="81"/>
      <c r="F9" s="81"/>
      <c r="G9" s="81"/>
      <c r="H9" s="81"/>
      <c r="I9" s="79"/>
      <c r="J9" s="79"/>
      <c r="K9" s="79"/>
    </row>
    <row r="10" spans="1:11">
      <c r="A10" s="80"/>
      <c r="B10" s="409"/>
      <c r="C10" s="409"/>
      <c r="D10" s="81"/>
      <c r="E10" s="81"/>
      <c r="F10" s="81"/>
      <c r="G10" s="81"/>
      <c r="H10" s="81"/>
      <c r="I10" s="79"/>
      <c r="J10" s="79"/>
      <c r="K10" s="79"/>
    </row>
    <row r="11" spans="1:11">
      <c r="A11" s="188"/>
      <c r="B11" s="240"/>
      <c r="C11" s="240"/>
      <c r="D11" s="81"/>
      <c r="E11" s="81"/>
      <c r="F11" s="81"/>
      <c r="G11" s="81"/>
      <c r="H11" s="81"/>
      <c r="I11" s="79"/>
      <c r="J11" s="79"/>
      <c r="K11" s="79"/>
    </row>
    <row r="12" spans="1:11">
      <c r="A12" s="80"/>
      <c r="B12" s="190"/>
      <c r="C12" s="190"/>
      <c r="D12" s="81"/>
      <c r="E12" s="81"/>
      <c r="F12" s="81"/>
      <c r="G12" s="81"/>
      <c r="H12" s="81"/>
      <c r="I12" s="79"/>
      <c r="J12" s="79"/>
      <c r="K12" s="79"/>
    </row>
    <row r="13" spans="1:11">
      <c r="A13" s="80"/>
      <c r="B13" s="191"/>
      <c r="C13" s="191"/>
      <c r="D13" s="81"/>
      <c r="E13" s="81"/>
      <c r="F13" s="81"/>
      <c r="G13" s="81"/>
      <c r="H13" s="81"/>
      <c r="I13" s="79"/>
      <c r="J13" s="79"/>
      <c r="K13" s="79"/>
    </row>
    <row r="14" spans="1:11">
      <c r="A14" s="180"/>
      <c r="B14" s="194"/>
      <c r="C14" s="194"/>
      <c r="D14" s="81"/>
      <c r="E14" s="81"/>
      <c r="F14" s="81"/>
      <c r="G14" s="81"/>
      <c r="H14" s="81"/>
      <c r="I14" s="79"/>
      <c r="J14" s="79"/>
      <c r="K14" s="79"/>
    </row>
    <row r="15" spans="1:11">
      <c r="A15" s="80"/>
      <c r="B15" s="195"/>
      <c r="C15" s="195"/>
      <c r="D15" s="81"/>
      <c r="E15" s="81"/>
      <c r="F15" s="81"/>
      <c r="G15" s="81"/>
      <c r="H15" s="81"/>
      <c r="I15" s="79"/>
      <c r="J15" s="79"/>
      <c r="K15" s="79"/>
    </row>
    <row r="16" spans="1:11">
      <c r="A16" s="80"/>
      <c r="B16" s="81"/>
      <c r="C16" s="156"/>
      <c r="D16" s="81"/>
      <c r="E16" s="81"/>
      <c r="F16" s="81"/>
      <c r="G16" s="81"/>
      <c r="H16" s="81"/>
      <c r="I16" s="79"/>
      <c r="J16" s="79"/>
      <c r="K16" s="79"/>
    </row>
    <row r="17" spans="1:11">
      <c r="A17" s="80"/>
      <c r="B17" s="81"/>
      <c r="C17" s="157"/>
      <c r="D17" s="81"/>
      <c r="E17" s="81"/>
      <c r="F17" s="81"/>
      <c r="G17" s="81"/>
      <c r="H17" s="81"/>
      <c r="I17" s="79"/>
      <c r="J17" s="79"/>
      <c r="K17" s="79"/>
    </row>
    <row r="18" spans="1:11">
      <c r="A18" s="80"/>
      <c r="B18" s="81"/>
      <c r="C18" s="158"/>
      <c r="D18" s="81"/>
      <c r="E18" s="81"/>
      <c r="F18" s="81"/>
      <c r="G18" s="81"/>
      <c r="H18" s="81"/>
      <c r="I18" s="79"/>
      <c r="J18" s="79"/>
      <c r="K18" s="79"/>
    </row>
    <row r="19" spans="1:11">
      <c r="A19" s="80"/>
      <c r="B19" s="81"/>
      <c r="C19" s="149"/>
      <c r="D19" s="81"/>
      <c r="E19" s="81"/>
      <c r="F19" s="81"/>
      <c r="G19" s="81"/>
      <c r="H19" s="81"/>
      <c r="I19" s="79"/>
      <c r="J19" s="79"/>
      <c r="K19" s="79"/>
    </row>
    <row r="20" spans="1:11">
      <c r="A20" s="80"/>
      <c r="B20" s="81"/>
      <c r="C20" s="132"/>
      <c r="D20" s="81"/>
      <c r="E20" s="81"/>
      <c r="F20" s="81"/>
      <c r="G20" s="81"/>
      <c r="H20" s="81"/>
      <c r="I20" s="79"/>
      <c r="J20" s="79"/>
      <c r="K20" s="79"/>
    </row>
    <row r="21" spans="1:1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</row>
    <row r="22" spans="1:11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</row>
    <row r="23" spans="1:11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</row>
    <row r="24" spans="1:11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</row>
    <row r="25" spans="1:1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</row>
  </sheetData>
  <sheetProtection password="CC6F" sheet="1" objects="1" scenarios="1"/>
  <mergeCells count="23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A5:A6"/>
    <mergeCell ref="B5:B6"/>
    <mergeCell ref="C5:C6"/>
    <mergeCell ref="D5:D6"/>
    <mergeCell ref="E5:E6"/>
    <mergeCell ref="I5:I6"/>
    <mergeCell ref="J5:J6"/>
    <mergeCell ref="K5:K6"/>
    <mergeCell ref="C4:D4"/>
    <mergeCell ref="E4:F4"/>
    <mergeCell ref="G4:H4"/>
    <mergeCell ref="F5:G5"/>
    <mergeCell ref="H5:H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K37"/>
  <sheetViews>
    <sheetView workbookViewId="0">
      <selection activeCell="D24" sqref="D24"/>
    </sheetView>
  </sheetViews>
  <sheetFormatPr defaultRowHeight="15"/>
  <cols>
    <col min="1" max="1" width="10.7109375" bestFit="1" customWidth="1"/>
  </cols>
  <sheetData>
    <row r="1" spans="1:11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1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101</v>
      </c>
    </row>
    <row r="3" spans="1:11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1">
      <c r="A4" s="73" t="s">
        <v>126</v>
      </c>
      <c r="B4" s="73" t="s">
        <v>12</v>
      </c>
      <c r="C4" s="510">
        <f>AVERAGEA(I7:I40)</f>
        <v>0.62943728875062577</v>
      </c>
      <c r="D4" s="511"/>
      <c r="E4" s="510">
        <f>AVERAGEA(J7:J40)</f>
        <v>14.253624370050819</v>
      </c>
      <c r="F4" s="511"/>
      <c r="G4" s="510">
        <f>AVERAGEA(K7:K40)</f>
        <v>2.3508901398733397</v>
      </c>
      <c r="H4" s="511"/>
      <c r="I4" s="74">
        <f>C4*K2</f>
        <v>63.573166163813205</v>
      </c>
      <c r="J4" s="74">
        <f>I4*E4</f>
        <v>906.14803051381807</v>
      </c>
      <c r="K4" s="74">
        <f>K2*G4</f>
        <v>237.43990412720731</v>
      </c>
    </row>
    <row r="5" spans="1:1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</row>
    <row r="6" spans="1:11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</row>
    <row r="7" spans="1:11">
      <c r="A7" s="77">
        <v>46204</v>
      </c>
      <c r="B7" s="78" t="s">
        <v>140</v>
      </c>
      <c r="C7" s="78" t="s">
        <v>65</v>
      </c>
      <c r="D7" s="78">
        <v>57</v>
      </c>
      <c r="E7" s="78">
        <v>5</v>
      </c>
      <c r="F7" s="78">
        <v>34</v>
      </c>
      <c r="G7" s="78">
        <v>474</v>
      </c>
      <c r="H7" s="78">
        <v>138</v>
      </c>
      <c r="I7" s="79">
        <f t="shared" ref="I7:I22" si="0">F7/(D7+E7)</f>
        <v>0.54838709677419351</v>
      </c>
      <c r="J7" s="79">
        <f t="shared" ref="J7:J22" si="1">G7/F7</f>
        <v>13.941176470588236</v>
      </c>
      <c r="K7" s="79">
        <f t="shared" ref="K7:K22" si="2">H7/(D7+E7)</f>
        <v>2.225806451612903</v>
      </c>
    </row>
    <row r="8" spans="1:11">
      <c r="A8" s="24">
        <v>46205</v>
      </c>
      <c r="B8" s="23">
        <v>1294</v>
      </c>
      <c r="C8" s="23" t="s">
        <v>122</v>
      </c>
      <c r="D8" s="23">
        <v>291</v>
      </c>
      <c r="E8" s="23">
        <v>59</v>
      </c>
      <c r="F8" s="23">
        <v>233</v>
      </c>
      <c r="G8" s="23">
        <v>3273</v>
      </c>
      <c r="H8" s="23">
        <v>495</v>
      </c>
      <c r="I8" s="79">
        <f t="shared" si="0"/>
        <v>0.6657142857142857</v>
      </c>
      <c r="J8" s="79">
        <f t="shared" si="1"/>
        <v>14.047210300429185</v>
      </c>
      <c r="K8" s="79">
        <f t="shared" si="2"/>
        <v>1.4142857142857144</v>
      </c>
    </row>
    <row r="9" spans="1:11">
      <c r="A9" s="80">
        <v>46206</v>
      </c>
      <c r="B9" s="393">
        <v>1294</v>
      </c>
      <c r="C9" s="420" t="s">
        <v>122</v>
      </c>
      <c r="D9" s="81">
        <v>297</v>
      </c>
      <c r="E9" s="81">
        <v>44</v>
      </c>
      <c r="F9" s="81">
        <v>214</v>
      </c>
      <c r="G9" s="81">
        <v>3092</v>
      </c>
      <c r="H9" s="81">
        <v>963</v>
      </c>
      <c r="I9" s="79">
        <f t="shared" si="0"/>
        <v>0.62756598240469208</v>
      </c>
      <c r="J9" s="79">
        <f t="shared" si="1"/>
        <v>14.448598130841122</v>
      </c>
      <c r="K9" s="79">
        <f t="shared" si="2"/>
        <v>2.8240469208211145</v>
      </c>
    </row>
    <row r="10" spans="1:11">
      <c r="A10" s="80">
        <v>46207</v>
      </c>
      <c r="B10" s="423" t="s">
        <v>140</v>
      </c>
      <c r="C10" s="423" t="s">
        <v>65</v>
      </c>
      <c r="D10" s="81">
        <v>101</v>
      </c>
      <c r="E10" s="81">
        <v>4</v>
      </c>
      <c r="F10" s="81">
        <v>89</v>
      </c>
      <c r="G10" s="81">
        <v>1296</v>
      </c>
      <c r="H10" s="81">
        <v>298</v>
      </c>
      <c r="I10" s="79">
        <f t="shared" si="0"/>
        <v>0.84761904761904761</v>
      </c>
      <c r="J10" s="79">
        <f t="shared" si="1"/>
        <v>14.561797752808989</v>
      </c>
      <c r="K10" s="79">
        <f t="shared" si="2"/>
        <v>2.8380952380952382</v>
      </c>
    </row>
    <row r="11" spans="1:11">
      <c r="A11" s="188">
        <v>46208</v>
      </c>
      <c r="B11" s="371">
        <v>1294</v>
      </c>
      <c r="C11" s="426" t="s">
        <v>122</v>
      </c>
      <c r="D11" s="81">
        <v>405</v>
      </c>
      <c r="E11" s="81">
        <v>40</v>
      </c>
      <c r="F11" s="81">
        <v>288</v>
      </c>
      <c r="G11" s="81">
        <v>4082</v>
      </c>
      <c r="H11" s="81">
        <v>762</v>
      </c>
      <c r="I11" s="79">
        <f t="shared" si="0"/>
        <v>0.64719101123595502</v>
      </c>
      <c r="J11" s="79">
        <f t="shared" si="1"/>
        <v>14.173611111111111</v>
      </c>
      <c r="K11" s="79">
        <f t="shared" si="2"/>
        <v>1.7123595505617977</v>
      </c>
    </row>
    <row r="12" spans="1:11">
      <c r="A12" s="101">
        <v>46209</v>
      </c>
      <c r="B12" s="427" t="s">
        <v>140</v>
      </c>
      <c r="C12" s="427" t="s">
        <v>65</v>
      </c>
      <c r="D12" s="374">
        <v>48</v>
      </c>
      <c r="E12" s="374">
        <v>9</v>
      </c>
      <c r="F12" s="374">
        <v>38</v>
      </c>
      <c r="G12" s="374">
        <v>558</v>
      </c>
      <c r="H12" s="374">
        <v>97</v>
      </c>
      <c r="I12" s="79">
        <f t="shared" si="0"/>
        <v>0.66666666666666663</v>
      </c>
      <c r="J12" s="79">
        <f t="shared" si="1"/>
        <v>14.684210526315789</v>
      </c>
      <c r="K12" s="79">
        <f t="shared" si="2"/>
        <v>1.7017543859649122</v>
      </c>
    </row>
    <row r="13" spans="1:11">
      <c r="A13" s="80">
        <v>46210</v>
      </c>
      <c r="B13" s="373">
        <v>1294</v>
      </c>
      <c r="C13" s="428" t="s">
        <v>122</v>
      </c>
      <c r="D13" s="81">
        <v>398</v>
      </c>
      <c r="E13" s="81">
        <v>50</v>
      </c>
      <c r="F13" s="81">
        <v>264</v>
      </c>
      <c r="G13" s="81">
        <v>3597</v>
      </c>
      <c r="H13" s="81">
        <v>1036</v>
      </c>
      <c r="I13" s="79">
        <f t="shared" si="0"/>
        <v>0.5892857142857143</v>
      </c>
      <c r="J13" s="79">
        <f t="shared" si="1"/>
        <v>13.625</v>
      </c>
      <c r="K13" s="79">
        <f t="shared" si="2"/>
        <v>2.3125</v>
      </c>
    </row>
    <row r="14" spans="1:11">
      <c r="A14" s="180">
        <v>46211</v>
      </c>
      <c r="B14" s="429" t="s">
        <v>140</v>
      </c>
      <c r="C14" s="429" t="s">
        <v>65</v>
      </c>
      <c r="D14" s="81">
        <v>99</v>
      </c>
      <c r="E14" s="81">
        <v>3</v>
      </c>
      <c r="F14" s="81">
        <v>63</v>
      </c>
      <c r="G14" s="81">
        <v>741</v>
      </c>
      <c r="H14" s="81">
        <v>279</v>
      </c>
      <c r="I14" s="79">
        <f t="shared" si="0"/>
        <v>0.61764705882352944</v>
      </c>
      <c r="J14" s="79">
        <f t="shared" si="1"/>
        <v>11.761904761904763</v>
      </c>
      <c r="K14" s="79">
        <f t="shared" si="2"/>
        <v>2.7352941176470589</v>
      </c>
    </row>
    <row r="15" spans="1:11">
      <c r="A15" s="80">
        <v>46212</v>
      </c>
      <c r="B15" s="398">
        <v>1294</v>
      </c>
      <c r="C15" s="433" t="s">
        <v>122</v>
      </c>
      <c r="D15" s="81">
        <v>466</v>
      </c>
      <c r="E15" s="81">
        <v>69</v>
      </c>
      <c r="F15" s="81">
        <v>331</v>
      </c>
      <c r="G15" s="81">
        <v>4760</v>
      </c>
      <c r="H15" s="81">
        <v>992</v>
      </c>
      <c r="I15" s="79">
        <f t="shared" si="0"/>
        <v>0.61869158878504671</v>
      </c>
      <c r="J15" s="79">
        <f t="shared" si="1"/>
        <v>14.380664652567976</v>
      </c>
      <c r="K15" s="79">
        <f t="shared" si="2"/>
        <v>1.8542056074766355</v>
      </c>
    </row>
    <row r="16" spans="1:11">
      <c r="A16" s="400">
        <v>46213</v>
      </c>
      <c r="B16" s="401">
        <v>1294</v>
      </c>
      <c r="C16" s="433" t="s">
        <v>122</v>
      </c>
      <c r="D16" s="81">
        <v>449</v>
      </c>
      <c r="E16" s="81">
        <v>70</v>
      </c>
      <c r="F16" s="81">
        <v>341</v>
      </c>
      <c r="G16" s="81">
        <v>4945</v>
      </c>
      <c r="H16" s="81">
        <v>1133</v>
      </c>
      <c r="I16" s="79">
        <f t="shared" si="0"/>
        <v>0.65703275529865124</v>
      </c>
      <c r="J16" s="79">
        <f t="shared" si="1"/>
        <v>14.501466275659824</v>
      </c>
      <c r="K16" s="79">
        <f t="shared" si="2"/>
        <v>2.183044315992293</v>
      </c>
    </row>
    <row r="17" spans="1:11">
      <c r="A17" s="80">
        <v>46214</v>
      </c>
      <c r="B17" s="435" t="s">
        <v>140</v>
      </c>
      <c r="C17" s="435" t="s">
        <v>65</v>
      </c>
      <c r="D17" s="81">
        <v>94</v>
      </c>
      <c r="E17" s="81">
        <v>3</v>
      </c>
      <c r="F17" s="81">
        <v>68</v>
      </c>
      <c r="G17" s="81">
        <v>1008</v>
      </c>
      <c r="H17" s="81">
        <v>328</v>
      </c>
      <c r="I17" s="79">
        <f t="shared" si="0"/>
        <v>0.7010309278350515</v>
      </c>
      <c r="J17" s="79">
        <f t="shared" si="1"/>
        <v>14.823529411764707</v>
      </c>
      <c r="K17" s="79">
        <f t="shared" si="2"/>
        <v>3.3814432989690721</v>
      </c>
    </row>
    <row r="18" spans="1:11">
      <c r="A18" s="101">
        <v>46215</v>
      </c>
      <c r="B18" s="380">
        <v>1294</v>
      </c>
      <c r="C18" s="436" t="s">
        <v>122</v>
      </c>
      <c r="D18" s="380">
        <v>463</v>
      </c>
      <c r="E18" s="380">
        <v>59</v>
      </c>
      <c r="F18" s="380">
        <v>285</v>
      </c>
      <c r="G18" s="380">
        <v>4085</v>
      </c>
      <c r="H18" s="380">
        <v>984</v>
      </c>
      <c r="I18" s="367">
        <f t="shared" si="0"/>
        <v>0.54597701149425293</v>
      </c>
      <c r="J18" s="367">
        <f t="shared" si="1"/>
        <v>14.333333333333334</v>
      </c>
      <c r="K18" s="367">
        <f t="shared" si="2"/>
        <v>1.8850574712643677</v>
      </c>
    </row>
    <row r="19" spans="1:11">
      <c r="A19" s="80">
        <v>46216</v>
      </c>
      <c r="B19" s="440" t="s">
        <v>140</v>
      </c>
      <c r="C19" s="440" t="s">
        <v>65</v>
      </c>
      <c r="D19" s="81">
        <v>75</v>
      </c>
      <c r="E19" s="81">
        <v>3</v>
      </c>
      <c r="F19" s="81">
        <v>38</v>
      </c>
      <c r="G19" s="81">
        <v>503</v>
      </c>
      <c r="H19" s="81">
        <v>209</v>
      </c>
      <c r="I19" s="79">
        <f t="shared" si="0"/>
        <v>0.48717948717948717</v>
      </c>
      <c r="J19" s="79">
        <f t="shared" si="1"/>
        <v>13.236842105263158</v>
      </c>
      <c r="K19" s="79">
        <f t="shared" si="2"/>
        <v>2.6794871794871793</v>
      </c>
    </row>
    <row r="20" spans="1:11">
      <c r="A20" s="80">
        <v>46217</v>
      </c>
      <c r="B20" s="381">
        <v>1294</v>
      </c>
      <c r="C20" s="440" t="s">
        <v>122</v>
      </c>
      <c r="D20" s="81">
        <v>427</v>
      </c>
      <c r="E20" s="81">
        <v>55</v>
      </c>
      <c r="F20" s="81">
        <v>293</v>
      </c>
      <c r="G20" s="81">
        <v>4233</v>
      </c>
      <c r="H20" s="81">
        <v>1444</v>
      </c>
      <c r="I20" s="79">
        <f t="shared" si="0"/>
        <v>0.60788381742738584</v>
      </c>
      <c r="J20" s="79">
        <f t="shared" si="1"/>
        <v>14.447098976109215</v>
      </c>
      <c r="K20" s="79">
        <f t="shared" si="2"/>
        <v>2.995850622406639</v>
      </c>
    </row>
    <row r="21" spans="1:11">
      <c r="A21" s="101">
        <v>46218</v>
      </c>
      <c r="B21" s="442" t="s">
        <v>140</v>
      </c>
      <c r="C21" s="442" t="s">
        <v>65</v>
      </c>
      <c r="D21" s="366">
        <v>88</v>
      </c>
      <c r="E21" s="366">
        <v>5</v>
      </c>
      <c r="F21" s="366">
        <v>56</v>
      </c>
      <c r="G21" s="366">
        <v>899</v>
      </c>
      <c r="H21" s="366">
        <v>287</v>
      </c>
      <c r="I21" s="367">
        <f t="shared" si="0"/>
        <v>0.60215053763440862</v>
      </c>
      <c r="J21" s="367">
        <f t="shared" si="1"/>
        <v>16.053571428571427</v>
      </c>
      <c r="K21" s="367">
        <f t="shared" si="2"/>
        <v>3.086021505376344</v>
      </c>
    </row>
    <row r="22" spans="1:11">
      <c r="A22" s="80">
        <v>46219</v>
      </c>
      <c r="B22" s="384">
        <v>1294</v>
      </c>
      <c r="C22" s="444" t="s">
        <v>122</v>
      </c>
      <c r="D22" s="81">
        <v>452</v>
      </c>
      <c r="E22" s="81">
        <v>41</v>
      </c>
      <c r="F22" s="81">
        <v>316</v>
      </c>
      <c r="G22" s="81">
        <v>4752</v>
      </c>
      <c r="H22" s="81">
        <v>880</v>
      </c>
      <c r="I22" s="79">
        <f t="shared" si="0"/>
        <v>0.64097363083164305</v>
      </c>
      <c r="J22" s="79">
        <f t="shared" si="1"/>
        <v>15.037974683544304</v>
      </c>
      <c r="K22" s="79">
        <f t="shared" si="2"/>
        <v>1.7849898580121704</v>
      </c>
    </row>
    <row r="23" spans="1:11">
      <c r="A23" s="80"/>
      <c r="B23" s="402"/>
      <c r="C23" s="402"/>
      <c r="D23" s="81"/>
      <c r="E23" s="81"/>
      <c r="F23" s="81"/>
      <c r="G23" s="81"/>
      <c r="H23" s="81"/>
      <c r="I23" s="79"/>
      <c r="J23" s="79"/>
      <c r="K23" s="79"/>
    </row>
    <row r="24" spans="1:11">
      <c r="A24" s="80"/>
      <c r="B24" s="81"/>
      <c r="C24" s="402"/>
      <c r="D24" s="81"/>
      <c r="E24" s="81"/>
      <c r="F24" s="81"/>
      <c r="G24" s="81"/>
      <c r="H24" s="81"/>
      <c r="I24" s="79"/>
      <c r="J24" s="79"/>
      <c r="K24" s="79"/>
    </row>
    <row r="25" spans="1:11">
      <c r="A25" s="80"/>
      <c r="B25" s="385"/>
      <c r="C25" s="404"/>
      <c r="D25" s="81"/>
      <c r="E25" s="81"/>
      <c r="F25" s="81"/>
      <c r="G25" s="81"/>
      <c r="H25" s="81"/>
      <c r="I25" s="79"/>
      <c r="J25" s="79"/>
      <c r="K25" s="79"/>
    </row>
    <row r="26" spans="1:11">
      <c r="A26" s="24"/>
      <c r="B26" s="23"/>
      <c r="C26" s="23"/>
      <c r="D26" s="23"/>
      <c r="E26" s="23"/>
      <c r="F26" s="23"/>
      <c r="G26" s="23"/>
      <c r="H26" s="23"/>
      <c r="I26" s="79"/>
      <c r="J26" s="79"/>
      <c r="K26" s="79"/>
    </row>
    <row r="27" spans="1:11">
      <c r="A27" s="24"/>
      <c r="B27" s="23"/>
      <c r="C27" s="23"/>
      <c r="D27" s="23"/>
      <c r="E27" s="23"/>
      <c r="F27" s="23"/>
      <c r="G27" s="23"/>
      <c r="H27" s="23"/>
      <c r="I27" s="79"/>
      <c r="J27" s="79"/>
      <c r="K27" s="79"/>
    </row>
    <row r="28" spans="1:11">
      <c r="A28" s="24"/>
      <c r="B28" s="23"/>
      <c r="C28" s="23"/>
      <c r="D28" s="23"/>
      <c r="E28" s="23"/>
      <c r="F28" s="23"/>
      <c r="G28" s="23"/>
      <c r="H28" s="23"/>
      <c r="I28" s="79"/>
      <c r="J28" s="79"/>
      <c r="K28" s="79"/>
    </row>
    <row r="29" spans="1:11">
      <c r="A29" s="24"/>
      <c r="B29" s="23"/>
      <c r="C29" s="23"/>
      <c r="D29" s="23"/>
      <c r="E29" s="23"/>
      <c r="F29" s="23"/>
      <c r="G29" s="23"/>
      <c r="H29" s="23"/>
      <c r="I29" s="79"/>
      <c r="J29" s="79"/>
      <c r="K29" s="79"/>
    </row>
    <row r="30" spans="1:11">
      <c r="A30" s="24"/>
      <c r="B30" s="23"/>
      <c r="C30" s="23"/>
      <c r="D30" s="23"/>
      <c r="E30" s="23"/>
      <c r="F30" s="23"/>
      <c r="G30" s="23"/>
      <c r="H30" s="23"/>
      <c r="I30" s="79"/>
      <c r="J30" s="79"/>
      <c r="K30" s="79"/>
    </row>
    <row r="31" spans="1:11">
      <c r="A31" s="24"/>
      <c r="B31" s="23"/>
      <c r="C31" s="23"/>
      <c r="D31" s="23"/>
      <c r="E31" s="23"/>
      <c r="F31" s="23"/>
      <c r="G31" s="23"/>
      <c r="H31" s="23"/>
      <c r="I31" s="408"/>
      <c r="J31" s="408"/>
      <c r="K31" s="408"/>
    </row>
    <row r="32" spans="1:11">
      <c r="A32" s="24"/>
      <c r="B32" s="23"/>
      <c r="C32" s="23"/>
      <c r="D32" s="23"/>
      <c r="E32" s="23"/>
      <c r="F32" s="23"/>
      <c r="G32" s="23"/>
      <c r="H32" s="23"/>
      <c r="I32" s="408"/>
      <c r="J32" s="408"/>
      <c r="K32" s="408"/>
    </row>
    <row r="33" spans="1:11">
      <c r="A33" s="24"/>
      <c r="B33" s="23"/>
      <c r="C33" s="23"/>
      <c r="D33" s="23"/>
      <c r="E33" s="23"/>
      <c r="F33" s="23"/>
      <c r="G33" s="23"/>
      <c r="H33" s="23"/>
      <c r="I33" s="408"/>
      <c r="J33" s="408"/>
      <c r="K33" s="408"/>
    </row>
    <row r="34" spans="1:11">
      <c r="A34" s="24"/>
      <c r="B34" s="23"/>
      <c r="C34" s="23"/>
      <c r="D34" s="23"/>
      <c r="E34" s="23"/>
      <c r="F34" s="23"/>
      <c r="G34" s="23"/>
      <c r="H34" s="23"/>
      <c r="I34" s="408"/>
      <c r="J34" s="408"/>
      <c r="K34" s="408"/>
    </row>
    <row r="35" spans="1:11">
      <c r="A35" s="24"/>
      <c r="B35" s="23"/>
      <c r="C35" s="23"/>
      <c r="D35" s="23"/>
      <c r="E35" s="23"/>
      <c r="F35" s="23"/>
      <c r="G35" s="23"/>
      <c r="H35" s="23"/>
      <c r="I35" s="408"/>
      <c r="J35" s="408"/>
      <c r="K35" s="408"/>
    </row>
    <row r="36" spans="1:11">
      <c r="A36" s="24"/>
      <c r="B36" s="23"/>
      <c r="C36" s="23"/>
      <c r="D36" s="23"/>
      <c r="E36" s="23"/>
      <c r="F36" s="23"/>
      <c r="G36" s="23"/>
      <c r="H36" s="23"/>
      <c r="I36" s="408"/>
      <c r="J36" s="408"/>
      <c r="K36" s="408"/>
    </row>
    <row r="37" spans="1:1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</row>
  </sheetData>
  <sheetProtection password="CC6F" sheet="1" objects="1" scenarios="1"/>
  <mergeCells count="23">
    <mergeCell ref="I5:I6"/>
    <mergeCell ref="J5:J6"/>
    <mergeCell ref="K5:K6"/>
    <mergeCell ref="C4:D4"/>
    <mergeCell ref="E4:F4"/>
    <mergeCell ref="G4:H4"/>
    <mergeCell ref="F5:G5"/>
    <mergeCell ref="H5:H6"/>
    <mergeCell ref="A5:A6"/>
    <mergeCell ref="B5:B6"/>
    <mergeCell ref="C5:C6"/>
    <mergeCell ref="D5:D6"/>
    <mergeCell ref="E5:E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K25"/>
  <sheetViews>
    <sheetView workbookViewId="0">
      <selection activeCell="I29" sqref="I29"/>
    </sheetView>
  </sheetViews>
  <sheetFormatPr defaultRowHeight="15"/>
  <cols>
    <col min="1" max="1" width="10.140625" bestFit="1" customWidth="1"/>
  </cols>
  <sheetData>
    <row r="1" spans="1:11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1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101</v>
      </c>
    </row>
    <row r="3" spans="1:11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1">
      <c r="A4" s="73" t="s">
        <v>126</v>
      </c>
      <c r="B4" s="73" t="s">
        <v>29</v>
      </c>
      <c r="C4" s="510">
        <f>AVERAGEA(I7:I37)</f>
        <v>0.17391304347826086</v>
      </c>
      <c r="D4" s="511"/>
      <c r="E4" s="510">
        <f>AVERAGEA(J7:J37)</f>
        <v>16.5625</v>
      </c>
      <c r="F4" s="511"/>
      <c r="G4" s="510">
        <f>AVERAGEA(K7:K37)</f>
        <v>3.1739130434782608</v>
      </c>
      <c r="H4" s="511"/>
      <c r="I4" s="74">
        <f>C4*K2</f>
        <v>17.565217391304348</v>
      </c>
      <c r="J4" s="74">
        <f>I4*E4</f>
        <v>290.92391304347825</v>
      </c>
      <c r="K4" s="74">
        <f>K2*G4</f>
        <v>320.56521739130432</v>
      </c>
    </row>
    <row r="5" spans="1:1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</row>
    <row r="6" spans="1:11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</row>
    <row r="7" spans="1:11">
      <c r="A7" s="77">
        <v>46219</v>
      </c>
      <c r="B7" s="78">
        <v>1300</v>
      </c>
      <c r="C7" s="78" t="s">
        <v>62</v>
      </c>
      <c r="D7" s="78">
        <v>73</v>
      </c>
      <c r="E7" s="78">
        <v>19</v>
      </c>
      <c r="F7" s="78">
        <v>16</v>
      </c>
      <c r="G7" s="78">
        <v>265</v>
      </c>
      <c r="H7" s="78">
        <v>292</v>
      </c>
      <c r="I7" s="79">
        <f>F7/(D7+E7)</f>
        <v>0.17391304347826086</v>
      </c>
      <c r="J7" s="79">
        <f>G7/F7</f>
        <v>16.5625</v>
      </c>
      <c r="K7" s="79">
        <f>H7/(D7+E7)</f>
        <v>3.1739130434782608</v>
      </c>
    </row>
    <row r="8" spans="1:11">
      <c r="A8" s="80"/>
      <c r="B8" s="435"/>
      <c r="C8" s="435"/>
      <c r="D8" s="81"/>
      <c r="E8" s="81"/>
      <c r="F8" s="81"/>
      <c r="G8" s="81"/>
      <c r="H8" s="81"/>
      <c r="I8" s="79"/>
      <c r="J8" s="79"/>
      <c r="K8" s="79"/>
    </row>
    <row r="9" spans="1:11">
      <c r="A9" s="80"/>
      <c r="B9" s="404"/>
      <c r="C9" s="404"/>
      <c r="D9" s="81"/>
      <c r="E9" s="81"/>
      <c r="F9" s="81"/>
      <c r="G9" s="81"/>
      <c r="H9" s="81"/>
      <c r="I9" s="79"/>
      <c r="J9" s="79"/>
      <c r="K9" s="79"/>
    </row>
    <row r="10" spans="1:11">
      <c r="A10" s="80"/>
      <c r="B10" s="409"/>
      <c r="C10" s="409"/>
      <c r="D10" s="81"/>
      <c r="E10" s="81"/>
      <c r="F10" s="81"/>
      <c r="G10" s="81"/>
      <c r="H10" s="81"/>
      <c r="I10" s="79"/>
      <c r="J10" s="79"/>
      <c r="K10" s="79"/>
    </row>
    <row r="11" spans="1:11">
      <c r="A11" s="188"/>
      <c r="B11" s="240"/>
      <c r="C11" s="240"/>
      <c r="D11" s="81"/>
      <c r="E11" s="81"/>
      <c r="F11" s="81"/>
      <c r="G11" s="81"/>
      <c r="H11" s="81"/>
      <c r="I11" s="79"/>
      <c r="J11" s="79"/>
      <c r="K11" s="79"/>
    </row>
    <row r="12" spans="1:11">
      <c r="A12" s="80"/>
      <c r="B12" s="190"/>
      <c r="C12" s="190"/>
      <c r="D12" s="81"/>
      <c r="E12" s="81"/>
      <c r="F12" s="81"/>
      <c r="G12" s="81"/>
      <c r="H12" s="81"/>
      <c r="I12" s="79"/>
      <c r="J12" s="79"/>
      <c r="K12" s="79"/>
    </row>
    <row r="13" spans="1:11">
      <c r="A13" s="80"/>
      <c r="B13" s="191"/>
      <c r="C13" s="191"/>
      <c r="D13" s="81"/>
      <c r="E13" s="81"/>
      <c r="F13" s="81"/>
      <c r="G13" s="81"/>
      <c r="H13" s="81"/>
      <c r="I13" s="79"/>
      <c r="J13" s="79"/>
      <c r="K13" s="79"/>
    </row>
    <row r="14" spans="1:11">
      <c r="A14" s="180"/>
      <c r="B14" s="194"/>
      <c r="C14" s="194"/>
      <c r="D14" s="81"/>
      <c r="E14" s="81"/>
      <c r="F14" s="81"/>
      <c r="G14" s="81"/>
      <c r="H14" s="81"/>
      <c r="I14" s="79"/>
      <c r="J14" s="79"/>
      <c r="K14" s="79"/>
    </row>
    <row r="15" spans="1:11">
      <c r="A15" s="80"/>
      <c r="B15" s="195"/>
      <c r="C15" s="195"/>
      <c r="D15" s="81"/>
      <c r="E15" s="81"/>
      <c r="F15" s="81"/>
      <c r="G15" s="81"/>
      <c r="H15" s="81"/>
      <c r="I15" s="79"/>
      <c r="J15" s="79"/>
      <c r="K15" s="79"/>
    </row>
    <row r="16" spans="1:11">
      <c r="A16" s="80"/>
      <c r="B16" s="81"/>
      <c r="C16" s="156"/>
      <c r="D16" s="81"/>
      <c r="E16" s="81"/>
      <c r="F16" s="81"/>
      <c r="G16" s="81"/>
      <c r="H16" s="81"/>
      <c r="I16" s="79"/>
      <c r="J16" s="79"/>
      <c r="K16" s="79"/>
    </row>
    <row r="17" spans="1:11">
      <c r="A17" s="80"/>
      <c r="B17" s="81"/>
      <c r="C17" s="157"/>
      <c r="D17" s="81"/>
      <c r="E17" s="81"/>
      <c r="F17" s="81"/>
      <c r="G17" s="81"/>
      <c r="H17" s="81"/>
      <c r="I17" s="79"/>
      <c r="J17" s="79"/>
      <c r="K17" s="79"/>
    </row>
    <row r="18" spans="1:11">
      <c r="A18" s="80"/>
      <c r="B18" s="81"/>
      <c r="C18" s="158"/>
      <c r="D18" s="81"/>
      <c r="E18" s="81"/>
      <c r="F18" s="81"/>
      <c r="G18" s="81"/>
      <c r="H18" s="81"/>
      <c r="I18" s="79"/>
      <c r="J18" s="79"/>
      <c r="K18" s="79"/>
    </row>
    <row r="19" spans="1:11">
      <c r="A19" s="80"/>
      <c r="B19" s="81"/>
      <c r="C19" s="149"/>
      <c r="D19" s="81"/>
      <c r="E19" s="81"/>
      <c r="F19" s="81"/>
      <c r="G19" s="81"/>
      <c r="H19" s="81"/>
      <c r="I19" s="79"/>
      <c r="J19" s="79"/>
      <c r="K19" s="79"/>
    </row>
    <row r="20" spans="1:11">
      <c r="A20" s="80"/>
      <c r="B20" s="81"/>
      <c r="C20" s="132"/>
      <c r="D20" s="81"/>
      <c r="E20" s="81"/>
      <c r="F20" s="81"/>
      <c r="G20" s="81"/>
      <c r="H20" s="81"/>
      <c r="I20" s="79"/>
      <c r="J20" s="79"/>
      <c r="K20" s="79"/>
    </row>
    <row r="21" spans="1:1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</row>
    <row r="22" spans="1:11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</row>
    <row r="23" spans="1:11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</row>
    <row r="24" spans="1:11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</row>
    <row r="25" spans="1:1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</row>
  </sheetData>
  <sheetProtection password="CC6F" sheet="1" objects="1" scenarios="1"/>
  <mergeCells count="23">
    <mergeCell ref="I5:I6"/>
    <mergeCell ref="J5:J6"/>
    <mergeCell ref="K5:K6"/>
    <mergeCell ref="C4:D4"/>
    <mergeCell ref="E4:F4"/>
    <mergeCell ref="G4:H4"/>
    <mergeCell ref="F5:G5"/>
    <mergeCell ref="H5:H6"/>
    <mergeCell ref="A5:A6"/>
    <mergeCell ref="B5:B6"/>
    <mergeCell ref="C5:C6"/>
    <mergeCell ref="D5:D6"/>
    <mergeCell ref="E5:E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K27"/>
  <sheetViews>
    <sheetView workbookViewId="0">
      <selection activeCell="A8" sqref="A8"/>
    </sheetView>
  </sheetViews>
  <sheetFormatPr defaultRowHeight="15"/>
  <cols>
    <col min="1" max="1" width="10.140625" bestFit="1" customWidth="1"/>
  </cols>
  <sheetData>
    <row r="1" spans="1:11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1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200</v>
      </c>
    </row>
    <row r="3" spans="1:11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1">
      <c r="A4" s="73" t="s">
        <v>66</v>
      </c>
      <c r="B4" s="73" t="s">
        <v>129</v>
      </c>
      <c r="C4" s="510">
        <f>AVERAGEA(I7:I44)</f>
        <v>0.89830508474576276</v>
      </c>
      <c r="D4" s="511"/>
      <c r="E4" s="510">
        <f>AVERAGEA(J7:J44)</f>
        <v>12.056603773584905</v>
      </c>
      <c r="F4" s="511"/>
      <c r="G4" s="510">
        <f>AVERAGEA(K7:K44)</f>
        <v>2.2203389830508473</v>
      </c>
      <c r="H4" s="511"/>
      <c r="I4" s="74">
        <f>C4*K2</f>
        <v>179.66101694915255</v>
      </c>
      <c r="J4" s="74">
        <f>I4*E4</f>
        <v>2166.1016949152545</v>
      </c>
      <c r="K4" s="74">
        <f>K2*G4</f>
        <v>444.06779661016947</v>
      </c>
    </row>
    <row r="5" spans="1:1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</row>
    <row r="6" spans="1:11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</row>
    <row r="7" spans="1:11">
      <c r="A7" s="77">
        <v>45945</v>
      </c>
      <c r="B7" s="78">
        <v>3051</v>
      </c>
      <c r="C7" s="78" t="s">
        <v>128</v>
      </c>
      <c r="D7" s="78">
        <v>58</v>
      </c>
      <c r="E7" s="78">
        <v>1</v>
      </c>
      <c r="F7" s="78">
        <v>53</v>
      </c>
      <c r="G7" s="78">
        <v>639</v>
      </c>
      <c r="H7" s="78">
        <v>131</v>
      </c>
      <c r="I7" s="79">
        <f>F7/(D7+E7)</f>
        <v>0.89830508474576276</v>
      </c>
      <c r="J7" s="79">
        <f>G7/F7</f>
        <v>12.056603773584905</v>
      </c>
      <c r="K7" s="79">
        <f>H7/(D7+E7)</f>
        <v>2.2203389830508473</v>
      </c>
    </row>
    <row r="8" spans="1:11">
      <c r="A8" s="80"/>
      <c r="B8" s="116"/>
      <c r="C8" s="196"/>
      <c r="D8" s="81"/>
      <c r="E8" s="81"/>
      <c r="F8" s="81"/>
      <c r="G8" s="81"/>
      <c r="H8" s="81"/>
      <c r="I8" s="79"/>
      <c r="J8" s="79"/>
      <c r="K8" s="79"/>
    </row>
    <row r="9" spans="1:11">
      <c r="A9" s="80"/>
      <c r="B9" s="197"/>
      <c r="C9" s="197"/>
      <c r="D9" s="81"/>
      <c r="E9" s="81"/>
      <c r="F9" s="81"/>
      <c r="G9" s="81"/>
      <c r="H9" s="81"/>
      <c r="I9" s="79"/>
      <c r="J9" s="79"/>
      <c r="K9" s="79"/>
    </row>
    <row r="10" spans="1:11">
      <c r="A10" s="80"/>
      <c r="B10" s="185"/>
      <c r="C10" s="185"/>
      <c r="D10" s="81"/>
      <c r="E10" s="81"/>
      <c r="F10" s="81"/>
      <c r="G10" s="81"/>
      <c r="H10" s="81"/>
      <c r="I10" s="79"/>
      <c r="J10" s="79"/>
      <c r="K10" s="79"/>
    </row>
    <row r="11" spans="1:11">
      <c r="A11" s="80"/>
      <c r="B11" s="109"/>
      <c r="C11" s="187"/>
      <c r="D11" s="81"/>
      <c r="E11" s="81"/>
      <c r="F11" s="81"/>
      <c r="G11" s="81"/>
      <c r="H11" s="81"/>
      <c r="I11" s="79"/>
      <c r="J11" s="79"/>
      <c r="K11" s="79"/>
    </row>
    <row r="12" spans="1:11">
      <c r="A12" s="80"/>
      <c r="B12" s="189"/>
      <c r="C12" s="189"/>
      <c r="D12" s="81"/>
      <c r="E12" s="81"/>
      <c r="F12" s="81"/>
      <c r="G12" s="81"/>
      <c r="H12" s="81"/>
      <c r="I12" s="79"/>
      <c r="J12" s="79"/>
      <c r="K12" s="79"/>
    </row>
    <row r="13" spans="1:11">
      <c r="A13" s="80"/>
      <c r="B13" s="110"/>
      <c r="C13" s="192"/>
      <c r="D13" s="81"/>
      <c r="E13" s="81"/>
      <c r="F13" s="81"/>
      <c r="G13" s="81"/>
      <c r="H13" s="81"/>
      <c r="I13" s="79"/>
      <c r="J13" s="79"/>
      <c r="K13" s="79"/>
    </row>
    <row r="14" spans="1:11">
      <c r="A14" s="80"/>
      <c r="B14" s="194"/>
      <c r="C14" s="194"/>
      <c r="D14" s="81"/>
      <c r="E14" s="81"/>
      <c r="F14" s="81"/>
      <c r="G14" s="81"/>
      <c r="H14" s="81"/>
      <c r="I14" s="79"/>
      <c r="J14" s="79"/>
      <c r="K14" s="79"/>
    </row>
    <row r="15" spans="1:11">
      <c r="A15" s="80"/>
      <c r="B15" s="111"/>
      <c r="C15" s="195"/>
      <c r="D15" s="81"/>
      <c r="E15" s="81"/>
      <c r="F15" s="81"/>
      <c r="G15" s="81"/>
      <c r="H15" s="81"/>
      <c r="I15" s="79"/>
      <c r="J15" s="79"/>
      <c r="K15" s="79"/>
    </row>
    <row r="16" spans="1:11">
      <c r="A16" s="80"/>
      <c r="B16" s="153"/>
      <c r="C16" s="170"/>
      <c r="D16" s="81"/>
      <c r="E16" s="81"/>
      <c r="F16" s="81"/>
      <c r="G16" s="81"/>
      <c r="H16" s="81"/>
      <c r="I16" s="79"/>
      <c r="J16" s="79"/>
      <c r="K16" s="79"/>
    </row>
    <row r="17" spans="1:11">
      <c r="A17" s="80"/>
      <c r="B17" s="81"/>
      <c r="C17" s="155"/>
      <c r="D17" s="81"/>
      <c r="E17" s="81"/>
      <c r="F17" s="81"/>
      <c r="G17" s="81"/>
      <c r="H17" s="81"/>
      <c r="I17" s="79"/>
      <c r="J17" s="79"/>
      <c r="K17" s="79"/>
    </row>
    <row r="18" spans="1:11">
      <c r="A18" s="80"/>
      <c r="B18" s="138"/>
      <c r="C18" s="155"/>
      <c r="D18" s="81"/>
      <c r="E18" s="81"/>
      <c r="F18" s="81"/>
      <c r="G18" s="81"/>
      <c r="H18" s="81"/>
      <c r="I18" s="79"/>
      <c r="J18" s="79"/>
      <c r="K18" s="79"/>
    </row>
    <row r="19" spans="1:11">
      <c r="A19" s="80"/>
      <c r="B19" s="81"/>
      <c r="C19" s="155"/>
      <c r="D19" s="81"/>
      <c r="E19" s="81"/>
      <c r="F19" s="81"/>
      <c r="G19" s="81"/>
      <c r="H19" s="81"/>
      <c r="I19" s="79"/>
      <c r="J19" s="79"/>
      <c r="K19" s="79"/>
    </row>
    <row r="20" spans="1:11">
      <c r="A20" s="80"/>
      <c r="B20" s="81"/>
      <c r="C20" s="157"/>
      <c r="D20" s="81"/>
      <c r="E20" s="81"/>
      <c r="F20" s="81"/>
      <c r="G20" s="81"/>
      <c r="H20" s="81"/>
      <c r="I20" s="79"/>
      <c r="J20" s="79"/>
      <c r="K20" s="79"/>
    </row>
    <row r="21" spans="1:11">
      <c r="A21" s="80"/>
      <c r="B21" s="157"/>
      <c r="C21" s="157"/>
      <c r="D21" s="81"/>
      <c r="E21" s="81"/>
      <c r="F21" s="81"/>
      <c r="G21" s="81"/>
      <c r="H21" s="81"/>
      <c r="I21" s="79"/>
      <c r="J21" s="79"/>
      <c r="K21" s="79"/>
    </row>
    <row r="22" spans="1:11">
      <c r="A22" s="80"/>
      <c r="B22" s="145"/>
      <c r="C22" s="158"/>
      <c r="D22" s="81"/>
      <c r="E22" s="81"/>
      <c r="F22" s="81"/>
      <c r="G22" s="81"/>
      <c r="H22" s="81"/>
      <c r="I22" s="79"/>
      <c r="J22" s="79"/>
      <c r="K22" s="79"/>
    </row>
    <row r="23" spans="1:11">
      <c r="A23" s="80"/>
      <c r="B23" s="130"/>
      <c r="C23" s="146"/>
      <c r="D23" s="81"/>
      <c r="E23" s="81"/>
      <c r="F23" s="81"/>
      <c r="G23" s="81"/>
      <c r="H23" s="81"/>
      <c r="I23" s="79"/>
      <c r="J23" s="79"/>
      <c r="K23" s="79"/>
    </row>
    <row r="24" spans="1:11">
      <c r="A24" s="80"/>
      <c r="B24" s="81"/>
      <c r="C24" s="148"/>
      <c r="D24" s="81"/>
      <c r="E24" s="81"/>
      <c r="F24" s="81"/>
      <c r="G24" s="81"/>
      <c r="H24" s="81"/>
      <c r="I24" s="79"/>
      <c r="J24" s="79"/>
      <c r="K24" s="79"/>
    </row>
    <row r="25" spans="1:1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</row>
    <row r="26" spans="1:1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</row>
    <row r="27" spans="1:1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</row>
  </sheetData>
  <sheetProtection password="CC6F" sheet="1" objects="1" scenarios="1"/>
  <mergeCells count="23">
    <mergeCell ref="I5:I6"/>
    <mergeCell ref="J5:J6"/>
    <mergeCell ref="K5:K6"/>
    <mergeCell ref="C4:D4"/>
    <mergeCell ref="E4:F4"/>
    <mergeCell ref="G4:H4"/>
    <mergeCell ref="F5:G5"/>
    <mergeCell ref="H5:H6"/>
    <mergeCell ref="A5:A6"/>
    <mergeCell ref="B5:B6"/>
    <mergeCell ref="C5:C6"/>
    <mergeCell ref="D5:D6"/>
    <mergeCell ref="E5:E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sheetPr codeName="Лист36">
    <outlinePr summaryBelow="0" summaryRight="0"/>
  </sheetPr>
  <dimension ref="A1:S1000"/>
  <sheetViews>
    <sheetView workbookViewId="0">
      <selection activeCell="I13" sqref="I13"/>
    </sheetView>
  </sheetViews>
  <sheetFormatPr defaultColWidth="14.42578125" defaultRowHeight="15" customHeight="1"/>
  <cols>
    <col min="1" max="1" width="11.140625" style="49" customWidth="1"/>
    <col min="2" max="8" width="8.7109375" style="49" customWidth="1"/>
    <col min="9" max="9" width="14" style="49" customWidth="1"/>
    <col min="10" max="10" width="15.5703125" style="49" customWidth="1"/>
    <col min="11" max="11" width="12.85546875" style="49" customWidth="1"/>
    <col min="12" max="13" width="8.7109375" style="49" customWidth="1"/>
    <col min="14" max="14" width="12" style="49" customWidth="1"/>
    <col min="15" max="15" width="11.5703125" style="49" customWidth="1"/>
    <col min="16" max="16" width="13.5703125" style="49" customWidth="1"/>
    <col min="17" max="17" width="12" style="49" customWidth="1"/>
    <col min="18" max="18" width="10.42578125" style="49" customWidth="1"/>
    <col min="19" max="19" width="12.7109375" style="49" customWidth="1"/>
    <col min="20" max="16384" width="14.42578125" style="49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0">
        <v>140</v>
      </c>
    </row>
    <row r="3" spans="1:19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9">
      <c r="A4" s="52" t="s">
        <v>66</v>
      </c>
      <c r="B4" s="52" t="s">
        <v>92</v>
      </c>
      <c r="C4" s="536">
        <f>AVERAGEA(I7:I38)</f>
        <v>0.41365719228968906</v>
      </c>
      <c r="D4" s="537"/>
      <c r="E4" s="536">
        <f>AVERAGEA(J7:J38)</f>
        <v>13.77295936537406</v>
      </c>
      <c r="F4" s="537"/>
      <c r="G4" s="536">
        <f>AVERAGEA(K7:K38)</f>
        <v>1.6221716962854476</v>
      </c>
      <c r="H4" s="537"/>
      <c r="I4" s="53">
        <f>C4*K2</f>
        <v>57.912006920556465</v>
      </c>
      <c r="J4" s="53">
        <f>I4*E4</f>
        <v>797.61971808408555</v>
      </c>
      <c r="K4" s="53">
        <f>K2*G4</f>
        <v>227.10403747996267</v>
      </c>
    </row>
    <row r="5" spans="1:19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20"/>
      <c r="B6" s="520"/>
      <c r="C6" s="520"/>
      <c r="D6" s="520"/>
      <c r="E6" s="520"/>
      <c r="F6" s="54" t="s">
        <v>20</v>
      </c>
      <c r="G6" s="55" t="s">
        <v>21</v>
      </c>
      <c r="H6" s="520"/>
      <c r="I6" s="520"/>
      <c r="J6" s="520"/>
      <c r="K6" s="520"/>
      <c r="N6" s="520"/>
      <c r="O6" s="520"/>
      <c r="P6" s="520"/>
      <c r="Q6" s="520"/>
      <c r="R6" s="520"/>
      <c r="S6" s="520"/>
    </row>
    <row r="7" spans="1:19" ht="15.75">
      <c r="A7" s="56">
        <v>46205</v>
      </c>
      <c r="B7" s="57" t="s">
        <v>137</v>
      </c>
      <c r="C7" s="57" t="s">
        <v>73</v>
      </c>
      <c r="D7" s="57">
        <v>159</v>
      </c>
      <c r="E7" s="57">
        <v>28</v>
      </c>
      <c r="F7" s="57">
        <v>75</v>
      </c>
      <c r="G7" s="57">
        <v>1025</v>
      </c>
      <c r="H7" s="57">
        <v>189</v>
      </c>
      <c r="I7" s="58">
        <f t="shared" ref="I7:I13" si="0">F7/(D7+E7)</f>
        <v>0.40106951871657753</v>
      </c>
      <c r="J7" s="58">
        <f t="shared" ref="J7:J13" si="1">G7/F7</f>
        <v>13.666666666666666</v>
      </c>
      <c r="K7" s="58">
        <f t="shared" ref="K7:K13" si="2">H7/(D7+E7)</f>
        <v>1.0106951871657754</v>
      </c>
      <c r="N7" s="59" t="s">
        <v>49</v>
      </c>
      <c r="O7" s="60">
        <f>K2</f>
        <v>140</v>
      </c>
      <c r="P7" s="61">
        <f>I4</f>
        <v>57.912006920556465</v>
      </c>
      <c r="Q7" s="61">
        <f>J4</f>
        <v>797.61971808408555</v>
      </c>
      <c r="R7" s="539">
        <f>Q7/P7</f>
        <v>13.77295936537406</v>
      </c>
      <c r="S7" s="539">
        <f>P7/O7</f>
        <v>0.41365719228968906</v>
      </c>
    </row>
    <row r="8" spans="1:19" ht="15.75">
      <c r="A8" s="56">
        <v>46207</v>
      </c>
      <c r="B8" s="57" t="s">
        <v>137</v>
      </c>
      <c r="C8" s="57" t="s">
        <v>73</v>
      </c>
      <c r="D8" s="57">
        <v>161</v>
      </c>
      <c r="E8" s="57">
        <v>31</v>
      </c>
      <c r="F8" s="57">
        <v>85</v>
      </c>
      <c r="G8" s="57">
        <v>1217</v>
      </c>
      <c r="H8" s="57">
        <v>411</v>
      </c>
      <c r="I8" s="58">
        <f t="shared" si="0"/>
        <v>0.44270833333333331</v>
      </c>
      <c r="J8" s="58">
        <f t="shared" si="1"/>
        <v>14.31764705882353</v>
      </c>
      <c r="K8" s="58">
        <f t="shared" si="2"/>
        <v>2.140625</v>
      </c>
      <c r="N8" s="59" t="s">
        <v>50</v>
      </c>
      <c r="O8" s="60">
        <f>O7</f>
        <v>140</v>
      </c>
      <c r="P8" s="62">
        <f>O8*S7</f>
        <v>57.912006920556465</v>
      </c>
      <c r="Q8" s="62">
        <f>P8*R7</f>
        <v>797.61971808408555</v>
      </c>
      <c r="R8" s="520"/>
      <c r="S8" s="520"/>
    </row>
    <row r="9" spans="1:19">
      <c r="A9" s="56">
        <v>46209</v>
      </c>
      <c r="B9" s="57" t="s">
        <v>137</v>
      </c>
      <c r="C9" s="57" t="s">
        <v>73</v>
      </c>
      <c r="D9" s="57">
        <v>154</v>
      </c>
      <c r="E9" s="57">
        <v>32</v>
      </c>
      <c r="F9" s="57">
        <v>78</v>
      </c>
      <c r="G9" s="57">
        <v>1165</v>
      </c>
      <c r="H9" s="57">
        <v>235</v>
      </c>
      <c r="I9" s="58">
        <f t="shared" si="0"/>
        <v>0.41935483870967744</v>
      </c>
      <c r="J9" s="58">
        <f t="shared" si="1"/>
        <v>14.935897435897436</v>
      </c>
      <c r="K9" s="58">
        <f t="shared" si="2"/>
        <v>1.2634408602150538</v>
      </c>
      <c r="N9" s="521" t="s">
        <v>51</v>
      </c>
      <c r="O9" s="516"/>
      <c r="P9" s="516"/>
      <c r="Q9" s="516"/>
      <c r="R9" s="516"/>
      <c r="S9" s="511"/>
    </row>
    <row r="10" spans="1:19">
      <c r="A10" s="56">
        <v>46212</v>
      </c>
      <c r="B10" s="57" t="s">
        <v>137</v>
      </c>
      <c r="C10" s="57" t="s">
        <v>73</v>
      </c>
      <c r="D10" s="57">
        <v>162</v>
      </c>
      <c r="E10" s="57">
        <v>28</v>
      </c>
      <c r="F10" s="57">
        <v>69</v>
      </c>
      <c r="G10" s="57">
        <v>928</v>
      </c>
      <c r="H10" s="57">
        <v>296</v>
      </c>
      <c r="I10" s="58">
        <f t="shared" si="0"/>
        <v>0.36315789473684212</v>
      </c>
      <c r="J10" s="58">
        <f t="shared" si="1"/>
        <v>13.44927536231884</v>
      </c>
      <c r="K10" s="58">
        <f t="shared" si="2"/>
        <v>1.5578947368421052</v>
      </c>
      <c r="N10" s="521" t="s">
        <v>52</v>
      </c>
      <c r="O10" s="516"/>
      <c r="P10" s="511"/>
      <c r="Q10" s="521" t="s">
        <v>53</v>
      </c>
      <c r="R10" s="516"/>
      <c r="S10" s="511"/>
    </row>
    <row r="11" spans="1:19">
      <c r="A11" s="66">
        <v>46214</v>
      </c>
      <c r="B11" s="67" t="s">
        <v>137</v>
      </c>
      <c r="C11" s="67" t="s">
        <v>73</v>
      </c>
      <c r="D11" s="67">
        <v>168</v>
      </c>
      <c r="E11" s="67">
        <v>18</v>
      </c>
      <c r="F11" s="67">
        <v>82</v>
      </c>
      <c r="G11" s="67">
        <v>1055</v>
      </c>
      <c r="H11" s="67">
        <v>203</v>
      </c>
      <c r="I11" s="58">
        <f t="shared" si="0"/>
        <v>0.44086021505376344</v>
      </c>
      <c r="J11" s="58">
        <f t="shared" si="1"/>
        <v>12.865853658536585</v>
      </c>
      <c r="K11" s="58">
        <f t="shared" si="2"/>
        <v>1.0913978494623655</v>
      </c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.75">
      <c r="A12" s="66">
        <v>46216</v>
      </c>
      <c r="B12" s="67" t="s">
        <v>137</v>
      </c>
      <c r="C12" s="67" t="s">
        <v>73</v>
      </c>
      <c r="D12" s="67">
        <v>175</v>
      </c>
      <c r="E12" s="67">
        <v>28</v>
      </c>
      <c r="F12" s="67">
        <v>74</v>
      </c>
      <c r="G12" s="67">
        <v>1072</v>
      </c>
      <c r="H12" s="67">
        <v>350</v>
      </c>
      <c r="I12" s="58">
        <f t="shared" si="0"/>
        <v>0.3645320197044335</v>
      </c>
      <c r="J12" s="58">
        <f t="shared" si="1"/>
        <v>14.486486486486486</v>
      </c>
      <c r="K12" s="58">
        <f t="shared" si="2"/>
        <v>1.7241379310344827</v>
      </c>
      <c r="N12" s="63">
        <v>1</v>
      </c>
      <c r="O12" s="64">
        <v>0</v>
      </c>
      <c r="P12" s="65">
        <f>O12*R7</f>
        <v>0</v>
      </c>
      <c r="Q12" s="63">
        <v>3</v>
      </c>
      <c r="R12" s="64">
        <v>30</v>
      </c>
      <c r="S12" s="65">
        <f>R12*R7</f>
        <v>413.18878096122182</v>
      </c>
    </row>
    <row r="13" spans="1:19" ht="15.75">
      <c r="A13" s="66">
        <v>46219</v>
      </c>
      <c r="B13" s="67" t="s">
        <v>137</v>
      </c>
      <c r="C13" s="67" t="s">
        <v>73</v>
      </c>
      <c r="D13" s="67">
        <v>157</v>
      </c>
      <c r="E13" s="67">
        <v>37</v>
      </c>
      <c r="F13" s="67">
        <v>90</v>
      </c>
      <c r="G13" s="67">
        <v>1142</v>
      </c>
      <c r="H13" s="67">
        <v>498</v>
      </c>
      <c r="I13" s="58">
        <f t="shared" si="0"/>
        <v>0.46391752577319589</v>
      </c>
      <c r="J13" s="58">
        <f t="shared" si="1"/>
        <v>12.688888888888888</v>
      </c>
      <c r="K13" s="58">
        <f t="shared" si="2"/>
        <v>2.5670103092783507</v>
      </c>
      <c r="N13" s="63">
        <v>2</v>
      </c>
      <c r="O13" s="64">
        <v>0</v>
      </c>
      <c r="P13" s="65">
        <f>O13*R7</f>
        <v>0</v>
      </c>
      <c r="Q13" s="63">
        <v>4</v>
      </c>
      <c r="R13" s="64">
        <v>30</v>
      </c>
      <c r="S13" s="65">
        <f>R7*R13</f>
        <v>413.18878096122182</v>
      </c>
    </row>
    <row r="14" spans="1:19" ht="15.75">
      <c r="A14" s="66"/>
      <c r="B14" s="67"/>
      <c r="C14" s="67"/>
      <c r="D14" s="67"/>
      <c r="E14" s="67"/>
      <c r="F14" s="67"/>
      <c r="G14" s="67"/>
      <c r="H14" s="67"/>
      <c r="I14" s="58"/>
      <c r="J14" s="58"/>
      <c r="K14" s="58"/>
      <c r="N14" s="63">
        <v>3</v>
      </c>
      <c r="O14" s="64">
        <v>0</v>
      </c>
      <c r="P14" s="65">
        <f>R7*O14</f>
        <v>0</v>
      </c>
      <c r="Q14" s="63">
        <v>5</v>
      </c>
      <c r="R14" s="64">
        <v>0</v>
      </c>
      <c r="S14" s="65">
        <f>R14*R7</f>
        <v>0</v>
      </c>
    </row>
    <row r="15" spans="1:19" ht="15.75">
      <c r="A15" s="66"/>
      <c r="B15" s="67"/>
      <c r="C15" s="67"/>
      <c r="D15" s="67"/>
      <c r="E15" s="67"/>
      <c r="F15" s="67"/>
      <c r="G15" s="67"/>
      <c r="H15" s="67"/>
      <c r="I15" s="58"/>
      <c r="J15" s="58"/>
      <c r="K15" s="58"/>
      <c r="N15" s="63">
        <v>4</v>
      </c>
      <c r="O15" s="64">
        <v>0</v>
      </c>
      <c r="P15" s="65">
        <f>R7*O15</f>
        <v>0</v>
      </c>
      <c r="Q15" s="63">
        <v>1</v>
      </c>
      <c r="R15" s="64">
        <v>1</v>
      </c>
      <c r="S15" s="65">
        <f>R7*R15</f>
        <v>13.77295936537406</v>
      </c>
    </row>
    <row r="16" spans="1:19" ht="15.75">
      <c r="A16" s="66"/>
      <c r="B16" s="67"/>
      <c r="C16" s="67"/>
      <c r="D16" s="67"/>
      <c r="E16" s="67"/>
      <c r="F16" s="67"/>
      <c r="G16" s="67"/>
      <c r="H16" s="67"/>
      <c r="I16" s="58"/>
      <c r="J16" s="58"/>
      <c r="K16" s="58"/>
      <c r="N16" s="63">
        <v>5</v>
      </c>
      <c r="O16" s="64">
        <v>0</v>
      </c>
      <c r="P16" s="65">
        <f>R7*O16</f>
        <v>0</v>
      </c>
      <c r="Q16" s="63"/>
      <c r="R16" s="64">
        <v>0</v>
      </c>
      <c r="S16" s="65">
        <f>R7*R16</f>
        <v>0</v>
      </c>
    </row>
    <row r="17" spans="1:19" ht="15.75">
      <c r="A17" s="66"/>
      <c r="B17" s="67"/>
      <c r="C17" s="67"/>
      <c r="D17" s="67"/>
      <c r="E17" s="67"/>
      <c r="F17" s="67"/>
      <c r="G17" s="67"/>
      <c r="H17" s="67"/>
      <c r="I17" s="58"/>
      <c r="J17" s="58"/>
      <c r="K17" s="58"/>
      <c r="N17" s="63">
        <v>6</v>
      </c>
      <c r="O17" s="64">
        <v>0</v>
      </c>
      <c r="P17" s="65">
        <f>R7*O17</f>
        <v>0</v>
      </c>
      <c r="Q17" s="63"/>
      <c r="R17" s="64">
        <v>0</v>
      </c>
      <c r="S17" s="65">
        <f>R7*R17</f>
        <v>0</v>
      </c>
    </row>
    <row r="18" spans="1:19" ht="15.75">
      <c r="A18" s="66"/>
      <c r="B18" s="67"/>
      <c r="C18" s="67"/>
      <c r="D18" s="67"/>
      <c r="E18" s="67"/>
      <c r="F18" s="67"/>
      <c r="G18" s="67"/>
      <c r="H18" s="67"/>
      <c r="I18" s="58"/>
      <c r="J18" s="58"/>
      <c r="K18" s="58"/>
      <c r="N18" s="63">
        <v>7</v>
      </c>
      <c r="O18" s="64">
        <v>0</v>
      </c>
      <c r="P18" s="65">
        <f>R7*O18</f>
        <v>0</v>
      </c>
      <c r="Q18" s="63"/>
      <c r="R18" s="64">
        <v>0</v>
      </c>
      <c r="S18" s="65">
        <f>R7*R18</f>
        <v>0</v>
      </c>
    </row>
    <row r="19" spans="1:19" ht="15.75">
      <c r="A19" s="66"/>
      <c r="B19" s="67"/>
      <c r="C19" s="67"/>
      <c r="D19" s="67"/>
      <c r="E19" s="67"/>
      <c r="F19" s="67"/>
      <c r="G19" s="67"/>
      <c r="H19" s="67"/>
      <c r="I19" s="58"/>
      <c r="J19" s="58"/>
      <c r="K19" s="58"/>
      <c r="N19" s="63">
        <v>8</v>
      </c>
      <c r="O19" s="64">
        <v>0</v>
      </c>
      <c r="P19" s="65">
        <f>R7*O19</f>
        <v>0</v>
      </c>
      <c r="Q19" s="63"/>
      <c r="R19" s="64">
        <v>0</v>
      </c>
      <c r="S19" s="65">
        <f>R7*R19</f>
        <v>0</v>
      </c>
    </row>
    <row r="20" spans="1:19" ht="15.75">
      <c r="A20" s="66"/>
      <c r="B20" s="67"/>
      <c r="C20" s="67"/>
      <c r="D20" s="67"/>
      <c r="E20" s="67"/>
      <c r="F20" s="67"/>
      <c r="G20" s="67"/>
      <c r="H20" s="67"/>
      <c r="I20" s="58"/>
      <c r="J20" s="70"/>
      <c r="K20" s="70"/>
      <c r="N20" s="63">
        <v>9</v>
      </c>
      <c r="O20" s="64">
        <v>0</v>
      </c>
      <c r="P20" s="65">
        <f>R7*O20</f>
        <v>0</v>
      </c>
      <c r="Q20" s="63"/>
      <c r="R20" s="64">
        <v>0</v>
      </c>
      <c r="S20" s="65">
        <f>R7*R20</f>
        <v>0</v>
      </c>
    </row>
    <row r="21" spans="1:19" ht="15.75" customHeight="1">
      <c r="A21" s="66"/>
      <c r="B21" s="67"/>
      <c r="C21" s="67"/>
      <c r="D21" s="67"/>
      <c r="E21" s="67"/>
      <c r="F21" s="67"/>
      <c r="G21" s="67"/>
      <c r="H21" s="67"/>
      <c r="I21" s="58"/>
      <c r="J21" s="70"/>
      <c r="K21" s="70"/>
      <c r="N21" s="68" t="s">
        <v>53</v>
      </c>
      <c r="O21" s="64">
        <v>0</v>
      </c>
      <c r="P21" s="65">
        <f>R7*O21</f>
        <v>0</v>
      </c>
      <c r="Q21" s="63"/>
      <c r="R21" s="64"/>
      <c r="S21" s="65">
        <f>R7*R21</f>
        <v>0</v>
      </c>
    </row>
    <row r="22" spans="1:19" ht="15.75" customHeight="1">
      <c r="A22" s="66"/>
      <c r="B22" s="67"/>
      <c r="C22" s="67"/>
      <c r="D22" s="67"/>
      <c r="E22" s="67"/>
      <c r="F22" s="67"/>
      <c r="G22" s="67"/>
      <c r="H22" s="67"/>
      <c r="I22" s="58"/>
      <c r="J22" s="70"/>
      <c r="K22" s="70"/>
      <c r="N22" s="59" t="s">
        <v>59</v>
      </c>
      <c r="O22" s="69">
        <f>P8-O12-O13-O14-O15-O16-O17-O18-O19-O20-O21</f>
        <v>57.912006920556465</v>
      </c>
      <c r="P22" s="69">
        <f>Q8-P12-P13-P14-P15-P16-P17-P18-P19-P20-P21</f>
        <v>797.61971808408555</v>
      </c>
      <c r="Q22" s="59" t="s">
        <v>59</v>
      </c>
      <c r="R22" s="69">
        <f>P8-R12-R13-R14-R15-R16-R17-R18-R19-R20-R21</f>
        <v>-3.0879930794435353</v>
      </c>
      <c r="S22" s="69">
        <f>Q8-S12-S13-S14-S15-S16-S17-S18-S19-S20-S21</f>
        <v>-42.530803203732162</v>
      </c>
    </row>
    <row r="23" spans="1:19" ht="15.75" customHeight="1">
      <c r="A23" s="66"/>
      <c r="B23" s="67"/>
      <c r="C23" s="67"/>
      <c r="D23" s="67"/>
      <c r="E23" s="67"/>
      <c r="F23" s="67"/>
      <c r="G23" s="67"/>
      <c r="H23" s="67"/>
      <c r="I23" s="58"/>
      <c r="J23" s="70"/>
      <c r="K23" s="70"/>
      <c r="N23" s="59" t="s">
        <v>60</v>
      </c>
      <c r="O23" s="62">
        <f>O12+O13+O14+O15+O16+O17+O18+O19+O20+O21</f>
        <v>0</v>
      </c>
      <c r="P23" s="62">
        <f>P12+P13+P14+P15+P16+P17+P18+P19+P20+P21</f>
        <v>0</v>
      </c>
      <c r="Q23" s="59" t="s">
        <v>60</v>
      </c>
      <c r="R23" s="62">
        <f>R12+R13+R14+R15+R16+R17+R18+R19+R20+R21</f>
        <v>61</v>
      </c>
      <c r="S23" s="62">
        <f>S12+S13+S14+S15+S16+S17+S18+S19+S20+S21</f>
        <v>840.1505212878177</v>
      </c>
    </row>
    <row r="24" spans="1:19" ht="15.75" customHeight="1">
      <c r="A24" s="66"/>
      <c r="B24" s="67"/>
      <c r="C24" s="67"/>
      <c r="D24" s="67"/>
      <c r="E24" s="67"/>
      <c r="F24" s="67"/>
      <c r="G24" s="67"/>
      <c r="H24" s="67"/>
      <c r="I24" s="58"/>
      <c r="J24" s="70"/>
      <c r="K24" s="70"/>
    </row>
    <row r="25" spans="1:19" ht="15.75" customHeight="1">
      <c r="A25" s="66"/>
      <c r="B25" s="67"/>
      <c r="C25" s="67"/>
      <c r="D25" s="67"/>
      <c r="E25" s="67"/>
      <c r="F25" s="67"/>
      <c r="G25" s="67"/>
      <c r="H25" s="67"/>
      <c r="I25" s="58"/>
      <c r="J25" s="70"/>
      <c r="K25" s="70"/>
    </row>
    <row r="26" spans="1:19" ht="15.75" customHeight="1">
      <c r="A26" s="66"/>
      <c r="B26" s="67"/>
      <c r="C26" s="67"/>
      <c r="D26" s="67"/>
      <c r="E26" s="67"/>
      <c r="F26" s="67"/>
      <c r="G26" s="67"/>
      <c r="H26" s="67"/>
      <c r="I26" s="58"/>
      <c r="J26" s="70"/>
      <c r="K26" s="70"/>
    </row>
    <row r="27" spans="1:19" ht="15.75" customHeight="1">
      <c r="A27" s="66"/>
      <c r="B27" s="67"/>
      <c r="C27" s="67"/>
      <c r="D27" s="67"/>
      <c r="E27" s="67"/>
      <c r="F27" s="67"/>
      <c r="G27" s="67"/>
      <c r="H27" s="67"/>
      <c r="I27" s="70"/>
      <c r="J27" s="70"/>
      <c r="K27" s="70"/>
    </row>
    <row r="28" spans="1:19" ht="15.75" customHeight="1">
      <c r="A28" s="66"/>
      <c r="B28" s="67"/>
      <c r="C28" s="67"/>
      <c r="D28" s="67"/>
      <c r="E28" s="67"/>
      <c r="F28" s="67"/>
      <c r="G28" s="67"/>
      <c r="H28" s="67"/>
      <c r="I28" s="70"/>
      <c r="J28" s="70"/>
      <c r="K28" s="70"/>
    </row>
    <row r="29" spans="1:19" ht="15.75" customHeight="1">
      <c r="A29" s="66"/>
      <c r="B29" s="67"/>
      <c r="C29" s="67"/>
      <c r="D29" s="67"/>
      <c r="E29" s="67"/>
      <c r="F29" s="67"/>
      <c r="G29" s="67"/>
      <c r="H29" s="67"/>
      <c r="I29" s="70"/>
      <c r="J29" s="70"/>
      <c r="K29" s="70"/>
    </row>
    <row r="30" spans="1:19" ht="15.75" customHeight="1">
      <c r="A30" s="66"/>
      <c r="B30" s="67"/>
      <c r="C30" s="67"/>
      <c r="D30" s="67"/>
      <c r="E30" s="67"/>
      <c r="F30" s="67"/>
      <c r="G30" s="67"/>
      <c r="H30" s="67"/>
      <c r="I30" s="70"/>
      <c r="J30" s="70"/>
      <c r="K30" s="70"/>
    </row>
    <row r="31" spans="1:19" ht="15.75" customHeight="1">
      <c r="A31" s="66"/>
      <c r="B31" s="67"/>
      <c r="C31" s="67"/>
      <c r="D31" s="67"/>
      <c r="E31" s="67"/>
      <c r="F31" s="67"/>
      <c r="G31" s="67"/>
      <c r="H31" s="67"/>
      <c r="I31" s="70"/>
      <c r="J31" s="70"/>
      <c r="K31" s="70"/>
    </row>
    <row r="32" spans="1:19" ht="15.75" customHeight="1">
      <c r="A32" s="66"/>
      <c r="B32" s="67"/>
      <c r="C32" s="67"/>
      <c r="D32" s="67"/>
      <c r="E32" s="67"/>
      <c r="F32" s="67"/>
      <c r="G32" s="67"/>
      <c r="H32" s="67"/>
      <c r="I32" s="70"/>
      <c r="J32" s="70"/>
      <c r="K32" s="70"/>
    </row>
    <row r="33" spans="1:11" ht="15.75" customHeight="1">
      <c r="A33" s="66"/>
      <c r="B33" s="67"/>
      <c r="C33" s="67"/>
      <c r="D33" s="67"/>
      <c r="E33" s="67"/>
      <c r="F33" s="67"/>
      <c r="G33" s="67"/>
      <c r="H33" s="67"/>
      <c r="I33" s="70"/>
      <c r="J33" s="70"/>
      <c r="K33" s="70"/>
    </row>
    <row r="34" spans="1:11" ht="15.75" customHeight="1">
      <c r="A34" s="66"/>
      <c r="B34" s="67"/>
      <c r="C34" s="67"/>
      <c r="D34" s="67"/>
      <c r="E34" s="67"/>
      <c r="F34" s="67"/>
      <c r="G34" s="67"/>
      <c r="H34" s="67"/>
      <c r="I34" s="70"/>
      <c r="J34" s="70"/>
      <c r="K34" s="70"/>
    </row>
    <row r="35" spans="1:11" ht="15.75" customHeight="1">
      <c r="A35" s="66"/>
      <c r="B35" s="67"/>
      <c r="C35" s="67"/>
      <c r="D35" s="67"/>
      <c r="E35" s="67"/>
      <c r="F35" s="67"/>
      <c r="G35" s="67"/>
      <c r="H35" s="67"/>
      <c r="I35" s="70"/>
      <c r="J35" s="70"/>
      <c r="K35" s="70"/>
    </row>
    <row r="36" spans="1:11" ht="15.75" customHeight="1">
      <c r="A36" s="66"/>
      <c r="B36" s="67"/>
      <c r="C36" s="67"/>
      <c r="D36" s="67"/>
      <c r="E36" s="67"/>
      <c r="F36" s="67"/>
      <c r="G36" s="67"/>
      <c r="H36" s="67"/>
      <c r="I36" s="70"/>
      <c r="J36" s="70"/>
      <c r="K36" s="70"/>
    </row>
    <row r="37" spans="1:11" ht="15.75" customHeight="1">
      <c r="A37" s="67"/>
      <c r="B37" s="67"/>
      <c r="C37" s="67"/>
      <c r="D37" s="67"/>
      <c r="E37" s="67"/>
      <c r="F37" s="67"/>
      <c r="G37" s="67"/>
      <c r="H37" s="67"/>
      <c r="I37" s="70"/>
      <c r="J37" s="70"/>
      <c r="K37" s="70"/>
    </row>
    <row r="38" spans="1:11" ht="15.75" customHeight="1">
      <c r="A38" s="67"/>
      <c r="B38" s="67"/>
      <c r="C38" s="67"/>
      <c r="D38" s="67"/>
      <c r="E38" s="67"/>
      <c r="F38" s="67"/>
      <c r="G38" s="67"/>
      <c r="H38" s="67"/>
      <c r="I38" s="58"/>
      <c r="J38" s="70"/>
      <c r="K38" s="70"/>
    </row>
    <row r="39" spans="1:11" ht="15.75" customHeight="1">
      <c r="I39" s="71"/>
    </row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67"/>
      <c r="O55" s="67"/>
      <c r="P55" s="67"/>
      <c r="Q55" s="67"/>
      <c r="R55" s="67"/>
      <c r="S55" s="67"/>
    </row>
    <row r="56" spans="14:19" ht="15.75" customHeight="1">
      <c r="N56" s="72"/>
      <c r="O56" s="72"/>
      <c r="P56" s="72"/>
      <c r="Q56" s="72"/>
      <c r="R56" s="72"/>
      <c r="S56" s="72"/>
    </row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>
  <sheetPr codeName="Лист37"/>
  <dimension ref="A1:S1000"/>
  <sheetViews>
    <sheetView workbookViewId="0">
      <selection activeCell="K7" sqref="K7:K8"/>
    </sheetView>
  </sheetViews>
  <sheetFormatPr defaultColWidth="14.42578125" defaultRowHeight="15" customHeight="1"/>
  <cols>
    <col min="1" max="1" width="11.28515625" style="49" customWidth="1"/>
    <col min="2" max="8" width="8.7109375" style="49" customWidth="1"/>
    <col min="9" max="9" width="14" style="49" customWidth="1"/>
    <col min="10" max="10" width="15.5703125" style="49" customWidth="1"/>
    <col min="11" max="11" width="12.85546875" style="49" customWidth="1"/>
    <col min="12" max="13" width="8.7109375" style="49" customWidth="1"/>
    <col min="14" max="14" width="12" style="49" customWidth="1"/>
    <col min="15" max="15" width="11.5703125" style="49" customWidth="1"/>
    <col min="16" max="16" width="13.5703125" style="49" customWidth="1"/>
    <col min="17" max="17" width="12" style="49" customWidth="1"/>
    <col min="18" max="18" width="10.42578125" style="49" customWidth="1"/>
    <col min="19" max="19" width="12.7109375" style="49" customWidth="1"/>
    <col min="20" max="16384" width="14.42578125" style="49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185</v>
      </c>
    </row>
    <row r="3" spans="1:19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9">
      <c r="A4" s="73" t="s">
        <v>66</v>
      </c>
      <c r="B4" s="73" t="s">
        <v>93</v>
      </c>
      <c r="C4" s="510">
        <f>AVERAGEA(I7:I37)</f>
        <v>0.57836609596279853</v>
      </c>
      <c r="D4" s="511"/>
      <c r="E4" s="510">
        <f>AVERAGEA(J7:J37)</f>
        <v>12.719639468690701</v>
      </c>
      <c r="F4" s="511"/>
      <c r="G4" s="510">
        <f>AVERAGEA(K7:K37)</f>
        <v>1.7540512928908616</v>
      </c>
      <c r="H4" s="511"/>
      <c r="I4" s="74">
        <f>C4*K2</f>
        <v>106.99772775311773</v>
      </c>
      <c r="J4" s="74">
        <f>I4*E4</f>
        <v>1360.9725209887788</v>
      </c>
      <c r="K4" s="74">
        <f>K2*G4</f>
        <v>324.49948918480942</v>
      </c>
    </row>
    <row r="5" spans="1:19" ht="15" customHeight="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  <c r="N6" s="520"/>
      <c r="O6" s="520"/>
      <c r="P6" s="520"/>
      <c r="Q6" s="520"/>
      <c r="R6" s="520"/>
      <c r="S6" s="520"/>
    </row>
    <row r="7" spans="1:19" ht="15.75">
      <c r="A7" s="77">
        <v>46205</v>
      </c>
      <c r="B7" s="78">
        <v>447</v>
      </c>
      <c r="C7" s="78" t="s">
        <v>62</v>
      </c>
      <c r="D7" s="78">
        <v>148</v>
      </c>
      <c r="E7" s="78">
        <v>23</v>
      </c>
      <c r="F7" s="78">
        <v>102</v>
      </c>
      <c r="G7" s="78">
        <v>1339</v>
      </c>
      <c r="H7" s="78">
        <v>296</v>
      </c>
      <c r="I7" s="79">
        <f t="shared" ref="I7:I8" si="0">F7/(D7+E7)</f>
        <v>0.59649122807017541</v>
      </c>
      <c r="J7" s="79">
        <f t="shared" ref="J7:J8" si="1">G7/F7</f>
        <v>13.127450980392156</v>
      </c>
      <c r="K7" s="79">
        <f t="shared" ref="K7:K8" si="2">H7/(D7+E7)</f>
        <v>1.7309941520467835</v>
      </c>
      <c r="N7" s="59" t="s">
        <v>49</v>
      </c>
      <c r="O7" s="60">
        <f>K2</f>
        <v>185</v>
      </c>
      <c r="P7" s="61">
        <f>I4</f>
        <v>106.99772775311773</v>
      </c>
      <c r="Q7" s="61">
        <f>J4</f>
        <v>1360.9725209887788</v>
      </c>
      <c r="R7" s="539">
        <f>Q7/P7</f>
        <v>12.719639468690703</v>
      </c>
      <c r="S7" s="539">
        <f>P7/O7</f>
        <v>0.57836609596279853</v>
      </c>
    </row>
    <row r="8" spans="1:19" ht="15.75">
      <c r="A8" s="152">
        <v>46209</v>
      </c>
      <c r="B8" s="81">
        <v>447</v>
      </c>
      <c r="C8" s="426" t="s">
        <v>62</v>
      </c>
      <c r="D8" s="81">
        <v>144</v>
      </c>
      <c r="E8" s="81">
        <v>22</v>
      </c>
      <c r="F8" s="81">
        <v>93</v>
      </c>
      <c r="G8" s="81">
        <v>1145</v>
      </c>
      <c r="H8" s="81">
        <v>295</v>
      </c>
      <c r="I8" s="79">
        <f t="shared" si="0"/>
        <v>0.56024096385542166</v>
      </c>
      <c r="J8" s="79">
        <f t="shared" si="1"/>
        <v>12.311827956989248</v>
      </c>
      <c r="K8" s="79">
        <f t="shared" si="2"/>
        <v>1.7771084337349397</v>
      </c>
      <c r="N8" s="59" t="s">
        <v>50</v>
      </c>
      <c r="O8" s="60">
        <f>K2</f>
        <v>185</v>
      </c>
      <c r="P8" s="62">
        <f>O8*S7</f>
        <v>106.99772775311773</v>
      </c>
      <c r="Q8" s="62">
        <f>P8*R7</f>
        <v>1360.9725209887788</v>
      </c>
      <c r="R8" s="520"/>
      <c r="S8" s="520"/>
    </row>
    <row r="9" spans="1:19">
      <c r="A9" s="80"/>
      <c r="B9" s="81"/>
      <c r="C9" s="401"/>
      <c r="D9" s="81"/>
      <c r="E9" s="81"/>
      <c r="F9" s="81"/>
      <c r="G9" s="81"/>
      <c r="H9" s="81"/>
      <c r="I9" s="79"/>
      <c r="J9" s="79"/>
      <c r="K9" s="79"/>
      <c r="N9" s="521" t="s">
        <v>51</v>
      </c>
      <c r="O9" s="516"/>
      <c r="P9" s="516"/>
      <c r="Q9" s="516"/>
      <c r="R9" s="516"/>
      <c r="S9" s="511"/>
    </row>
    <row r="10" spans="1:19">
      <c r="A10" s="80"/>
      <c r="B10" s="304"/>
      <c r="C10" s="402"/>
      <c r="D10" s="81"/>
      <c r="E10" s="81"/>
      <c r="F10" s="81"/>
      <c r="G10" s="81"/>
      <c r="H10" s="81"/>
      <c r="I10" s="79"/>
      <c r="J10" s="79"/>
      <c r="K10" s="79"/>
      <c r="N10" s="521" t="s">
        <v>52</v>
      </c>
      <c r="O10" s="516"/>
      <c r="P10" s="511"/>
      <c r="Q10" s="521" t="s">
        <v>53</v>
      </c>
      <c r="R10" s="516"/>
      <c r="S10" s="511"/>
    </row>
    <row r="11" spans="1:19">
      <c r="A11" s="80"/>
      <c r="B11" s="81"/>
      <c r="C11" s="402"/>
      <c r="D11" s="81"/>
      <c r="E11" s="81"/>
      <c r="F11" s="81"/>
      <c r="G11" s="81"/>
      <c r="H11" s="81"/>
      <c r="I11" s="79"/>
      <c r="J11" s="79"/>
      <c r="K11" s="79"/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.75">
      <c r="A12" s="382"/>
      <c r="B12" s="81"/>
      <c r="C12" s="404"/>
      <c r="D12" s="81"/>
      <c r="E12" s="81"/>
      <c r="F12" s="81"/>
      <c r="G12" s="81"/>
      <c r="H12" s="81"/>
      <c r="I12" s="79"/>
      <c r="J12" s="79"/>
      <c r="K12" s="79"/>
      <c r="N12" s="63">
        <v>1</v>
      </c>
      <c r="O12" s="64">
        <v>0</v>
      </c>
      <c r="P12" s="65">
        <f>O12*R7</f>
        <v>0</v>
      </c>
      <c r="Q12" s="63">
        <v>3</v>
      </c>
      <c r="R12" s="64">
        <v>20</v>
      </c>
      <c r="S12" s="65">
        <f>R12*R7</f>
        <v>254.39278937381405</v>
      </c>
    </row>
    <row r="13" spans="1:19" ht="15.75">
      <c r="A13" s="80"/>
      <c r="B13" s="81"/>
      <c r="C13" s="407"/>
      <c r="D13" s="81"/>
      <c r="E13" s="81"/>
      <c r="F13" s="81"/>
      <c r="G13" s="81"/>
      <c r="H13" s="81"/>
      <c r="I13" s="79"/>
      <c r="J13" s="79"/>
      <c r="K13" s="79"/>
      <c r="N13" s="63">
        <v>2</v>
      </c>
      <c r="O13" s="64">
        <v>0</v>
      </c>
      <c r="P13" s="65">
        <f>O13*R7</f>
        <v>0</v>
      </c>
      <c r="Q13" s="63">
        <v>4</v>
      </c>
      <c r="R13" s="64">
        <v>35</v>
      </c>
      <c r="S13" s="65">
        <f>R7*R13</f>
        <v>445.18738140417463</v>
      </c>
    </row>
    <row r="14" spans="1:19" ht="15.75">
      <c r="A14" s="80"/>
      <c r="B14" s="81"/>
      <c r="C14" s="413"/>
      <c r="D14" s="81"/>
      <c r="E14" s="81"/>
      <c r="F14" s="81"/>
      <c r="G14" s="81"/>
      <c r="H14" s="81"/>
      <c r="I14" s="79"/>
      <c r="J14" s="79"/>
      <c r="K14" s="79"/>
      <c r="N14" s="63">
        <v>3</v>
      </c>
      <c r="O14" s="64">
        <v>0</v>
      </c>
      <c r="P14" s="65">
        <f>R7*O14</f>
        <v>0</v>
      </c>
      <c r="Q14" s="63">
        <v>5</v>
      </c>
      <c r="R14" s="64">
        <v>22</v>
      </c>
      <c r="S14" s="65">
        <f>R14*R7</f>
        <v>279.83206831119548</v>
      </c>
    </row>
    <row r="15" spans="1:19" ht="15.75">
      <c r="A15" s="80"/>
      <c r="B15" s="81"/>
      <c r="C15" s="368"/>
      <c r="D15" s="81"/>
      <c r="E15" s="81"/>
      <c r="F15" s="81"/>
      <c r="G15" s="81"/>
      <c r="H15" s="81"/>
      <c r="I15" s="79"/>
      <c r="J15" s="79"/>
      <c r="K15" s="79"/>
      <c r="N15" s="63">
        <v>4</v>
      </c>
      <c r="O15" s="64">
        <v>0</v>
      </c>
      <c r="P15" s="65">
        <f>R7*O15</f>
        <v>0</v>
      </c>
      <c r="Q15" s="63">
        <v>1</v>
      </c>
      <c r="R15" s="64">
        <v>0</v>
      </c>
      <c r="S15" s="65">
        <f>R7*R15</f>
        <v>0</v>
      </c>
    </row>
    <row r="16" spans="1:19" ht="15.75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N16" s="63">
        <v>5</v>
      </c>
      <c r="O16" s="64">
        <v>0</v>
      </c>
      <c r="P16" s="65">
        <f>R7*O16</f>
        <v>0</v>
      </c>
      <c r="Q16" s="63"/>
      <c r="R16" s="64">
        <v>0</v>
      </c>
      <c r="S16" s="65">
        <f>R7*R16</f>
        <v>0</v>
      </c>
    </row>
    <row r="17" spans="1:19" ht="15.75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N17" s="63">
        <v>6</v>
      </c>
      <c r="O17" s="64">
        <v>0</v>
      </c>
      <c r="P17" s="65">
        <f>R7*O17</f>
        <v>0</v>
      </c>
      <c r="Q17" s="63"/>
      <c r="R17" s="64">
        <v>0</v>
      </c>
      <c r="S17" s="65">
        <f>R7*R17</f>
        <v>0</v>
      </c>
    </row>
    <row r="18" spans="1:19" ht="15.75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N18" s="63">
        <v>7</v>
      </c>
      <c r="O18" s="64">
        <v>0</v>
      </c>
      <c r="P18" s="65">
        <f>R7*O18</f>
        <v>0</v>
      </c>
      <c r="Q18" s="63"/>
      <c r="R18" s="64">
        <v>0</v>
      </c>
      <c r="S18" s="65">
        <f>R7*R18</f>
        <v>0</v>
      </c>
    </row>
    <row r="19" spans="1:19" ht="15.75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N19" s="63">
        <v>8</v>
      </c>
      <c r="O19" s="64">
        <v>0</v>
      </c>
      <c r="P19" s="65">
        <f>R7*O19</f>
        <v>0</v>
      </c>
      <c r="Q19" s="63"/>
      <c r="R19" s="64">
        <v>0</v>
      </c>
      <c r="S19" s="65">
        <f>R7*R19</f>
        <v>0</v>
      </c>
    </row>
    <row r="20" spans="1:19" ht="15.75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N20" s="63">
        <v>9</v>
      </c>
      <c r="O20" s="64">
        <v>0</v>
      </c>
      <c r="P20" s="65">
        <f>R7*O20</f>
        <v>0</v>
      </c>
      <c r="Q20" s="63"/>
      <c r="R20" s="64">
        <v>0</v>
      </c>
      <c r="S20" s="65">
        <f>R7*R20</f>
        <v>0</v>
      </c>
    </row>
    <row r="21" spans="1:19" ht="15.75" customHeight="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N21" s="68" t="s">
        <v>53</v>
      </c>
      <c r="O21" s="64">
        <v>0</v>
      </c>
      <c r="P21" s="65">
        <f>R7*O21</f>
        <v>0</v>
      </c>
      <c r="Q21" s="63"/>
      <c r="R21" s="64"/>
      <c r="S21" s="65">
        <f>R7*R21</f>
        <v>0</v>
      </c>
    </row>
    <row r="22" spans="1:19" ht="15.75" customHeight="1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N22" s="59" t="s">
        <v>59</v>
      </c>
      <c r="O22" s="69">
        <f>P8-O12-O13-O14-O15-O16-O17-O18-O19-O20-O21</f>
        <v>106.99772775311773</v>
      </c>
      <c r="P22" s="69">
        <f>Q8-P12-P13-P14-P15-P16-P17-P18-P19-P20-P21</f>
        <v>1360.9725209887788</v>
      </c>
      <c r="Q22" s="59" t="s">
        <v>59</v>
      </c>
      <c r="R22" s="69">
        <f>P8-R12-R13-R14-R15-R16-R17-R18-R19-R20-R21</f>
        <v>29.997727753117729</v>
      </c>
      <c r="S22" s="69">
        <f>Q8-S12-S13-S14-S15-S16-S17-S18-S19-S20-S21</f>
        <v>381.56028189959454</v>
      </c>
    </row>
    <row r="23" spans="1:19" ht="15.75" customHeight="1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N23" s="59" t="s">
        <v>60</v>
      </c>
      <c r="O23" s="62">
        <f>O12+O13+O14+O15+O16+O17+O18+O19+O20+O21</f>
        <v>0</v>
      </c>
      <c r="P23" s="62">
        <f>P12+P13+P14+P15+P16+P17+P18+P19+P20+P21</f>
        <v>0</v>
      </c>
      <c r="Q23" s="59" t="s">
        <v>60</v>
      </c>
      <c r="R23" s="62">
        <f>R12+R13+R14+R15+R16+R17+R18+R19+R20+R21</f>
        <v>77</v>
      </c>
      <c r="S23" s="62">
        <f>S12+S13+S14+S15+S16+S17+S18+S19+S20+S21</f>
        <v>979.41223908918414</v>
      </c>
    </row>
    <row r="24" spans="1:19" ht="15.75" customHeight="1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</row>
    <row r="25" spans="1:19" ht="15.75" customHeight="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</row>
    <row r="26" spans="1:19" ht="15.75" customHeight="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</row>
    <row r="27" spans="1:19" ht="15.75" customHeight="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</row>
    <row r="28" spans="1:19" ht="15.75" customHeight="1"/>
    <row r="29" spans="1:19" ht="15.75" customHeight="1"/>
    <row r="30" spans="1:19" ht="15.75" customHeight="1"/>
    <row r="31" spans="1:19" ht="15.75" customHeight="1"/>
    <row r="32" spans="1:1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67"/>
      <c r="O55" s="67"/>
      <c r="P55" s="67"/>
      <c r="Q55" s="67"/>
      <c r="R55" s="67"/>
      <c r="S55" s="67"/>
    </row>
    <row r="56" spans="14:19" ht="15.75" customHeight="1">
      <c r="N56" s="72"/>
      <c r="O56" s="72"/>
      <c r="P56" s="72"/>
      <c r="Q56" s="72"/>
      <c r="R56" s="72"/>
      <c r="S56" s="7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65.xml><?xml version="1.0" encoding="utf-8"?>
<worksheet xmlns="http://schemas.openxmlformats.org/spreadsheetml/2006/main" xmlns:r="http://schemas.openxmlformats.org/officeDocument/2006/relationships">
  <sheetPr codeName="Лист38"/>
  <dimension ref="A1:S1000"/>
  <sheetViews>
    <sheetView workbookViewId="0">
      <selection activeCell="K13" sqref="K13"/>
    </sheetView>
  </sheetViews>
  <sheetFormatPr defaultColWidth="14.42578125" defaultRowHeight="15" customHeight="1"/>
  <cols>
    <col min="1" max="1" width="11.140625" style="49" customWidth="1"/>
    <col min="2" max="8" width="8.7109375" style="49" customWidth="1"/>
    <col min="9" max="9" width="14" style="49" customWidth="1"/>
    <col min="10" max="10" width="15.5703125" style="49" customWidth="1"/>
    <col min="11" max="11" width="12.85546875" style="49" customWidth="1"/>
    <col min="12" max="13" width="8.7109375" style="49" customWidth="1"/>
    <col min="14" max="14" width="12" style="49" customWidth="1"/>
    <col min="15" max="15" width="11.5703125" style="49" customWidth="1"/>
    <col min="16" max="16" width="13.5703125" style="49" customWidth="1"/>
    <col min="17" max="17" width="12" style="49" customWidth="1"/>
    <col min="18" max="18" width="10.42578125" style="49" customWidth="1"/>
    <col min="19" max="19" width="12.7109375" style="49" customWidth="1"/>
    <col min="20" max="16384" width="14.42578125" style="49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202</v>
      </c>
    </row>
    <row r="3" spans="1:19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9">
      <c r="A4" s="73" t="s">
        <v>66</v>
      </c>
      <c r="B4" s="73" t="s">
        <v>94</v>
      </c>
      <c r="C4" s="510">
        <f>AVERAGEA(I7:I40)</f>
        <v>0.54838709677419351</v>
      </c>
      <c r="D4" s="511"/>
      <c r="E4" s="510">
        <f>AVERAGEA(J7:J40)</f>
        <v>14.127450980392156</v>
      </c>
      <c r="F4" s="511"/>
      <c r="G4" s="510">
        <f>AVERAGEA(K7:K40)</f>
        <v>1.467741935483871</v>
      </c>
      <c r="H4" s="511"/>
      <c r="I4" s="74">
        <f>C4*K2</f>
        <v>110.77419354838709</v>
      </c>
      <c r="J4" s="74">
        <f>I4*E4</f>
        <v>1564.9569892473116</v>
      </c>
      <c r="K4" s="74">
        <f>K2*G4</f>
        <v>296.48387096774195</v>
      </c>
    </row>
    <row r="5" spans="1:19" ht="15" customHeight="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  <c r="N6" s="520"/>
      <c r="O6" s="520"/>
      <c r="P6" s="520"/>
      <c r="Q6" s="520"/>
      <c r="R6" s="520"/>
      <c r="S6" s="520"/>
    </row>
    <row r="7" spans="1:19" ht="15.75">
      <c r="A7" s="77">
        <v>46206</v>
      </c>
      <c r="B7" s="78">
        <v>505</v>
      </c>
      <c r="C7" s="78" t="s">
        <v>62</v>
      </c>
      <c r="D7" s="78">
        <v>158</v>
      </c>
      <c r="E7" s="78">
        <v>28</v>
      </c>
      <c r="F7" s="78">
        <v>102</v>
      </c>
      <c r="G7" s="78">
        <v>1441</v>
      </c>
      <c r="H7" s="78">
        <v>273</v>
      </c>
      <c r="I7" s="79">
        <f t="shared" ref="I7" si="0">F7/(D7+E7)</f>
        <v>0.54838709677419351</v>
      </c>
      <c r="J7" s="79">
        <f t="shared" ref="J7" si="1">G7/F7</f>
        <v>14.127450980392156</v>
      </c>
      <c r="K7" s="79">
        <f t="shared" ref="K7" si="2">H7/(D7+E7)</f>
        <v>1.467741935483871</v>
      </c>
      <c r="N7" s="59" t="s">
        <v>49</v>
      </c>
      <c r="O7" s="60">
        <f>K2</f>
        <v>202</v>
      </c>
      <c r="P7" s="61">
        <f>I4</f>
        <v>110.77419354838709</v>
      </c>
      <c r="Q7" s="61">
        <f>J4</f>
        <v>1564.9569892473116</v>
      </c>
      <c r="R7" s="539">
        <f>Q7/P7</f>
        <v>14.127450980392156</v>
      </c>
      <c r="S7" s="539">
        <f>P7/O7</f>
        <v>0.54838709677419351</v>
      </c>
    </row>
    <row r="8" spans="1:19" ht="15.75">
      <c r="A8" s="338"/>
      <c r="B8" s="325"/>
      <c r="C8" s="397"/>
      <c r="D8" s="81"/>
      <c r="E8" s="81"/>
      <c r="F8" s="81"/>
      <c r="G8" s="81"/>
      <c r="H8" s="81"/>
      <c r="I8" s="79"/>
      <c r="J8" s="79"/>
      <c r="K8" s="79"/>
      <c r="N8" s="59" t="s">
        <v>50</v>
      </c>
      <c r="O8" s="60">
        <f>O7</f>
        <v>202</v>
      </c>
      <c r="P8" s="62">
        <f>O8*S7</f>
        <v>110.77419354838709</v>
      </c>
      <c r="Q8" s="62">
        <f>P8*R7</f>
        <v>1564.9569892473116</v>
      </c>
      <c r="R8" s="520"/>
      <c r="S8" s="520"/>
    </row>
    <row r="9" spans="1:19">
      <c r="A9" s="257"/>
      <c r="B9" s="371"/>
      <c r="C9" s="401"/>
      <c r="D9" s="81"/>
      <c r="E9" s="81"/>
      <c r="F9" s="81"/>
      <c r="G9" s="81"/>
      <c r="H9" s="81"/>
      <c r="I9" s="79"/>
      <c r="J9" s="79"/>
      <c r="K9" s="79"/>
      <c r="N9" s="521" t="s">
        <v>51</v>
      </c>
      <c r="O9" s="516"/>
      <c r="P9" s="516"/>
      <c r="Q9" s="516"/>
      <c r="R9" s="516"/>
      <c r="S9" s="511"/>
    </row>
    <row r="10" spans="1:19">
      <c r="A10" s="80"/>
      <c r="B10" s="373"/>
      <c r="C10" s="401"/>
      <c r="D10" s="81"/>
      <c r="E10" s="81"/>
      <c r="F10" s="81"/>
      <c r="G10" s="81"/>
      <c r="H10" s="81"/>
      <c r="I10" s="79"/>
      <c r="J10" s="79"/>
      <c r="K10" s="79"/>
      <c r="N10" s="521" t="s">
        <v>52</v>
      </c>
      <c r="O10" s="516"/>
      <c r="P10" s="511"/>
      <c r="Q10" s="521" t="s">
        <v>53</v>
      </c>
      <c r="R10" s="516"/>
      <c r="S10" s="511"/>
    </row>
    <row r="11" spans="1:19">
      <c r="A11" s="80"/>
      <c r="B11" s="376"/>
      <c r="C11" s="404"/>
      <c r="D11" s="81"/>
      <c r="E11" s="81"/>
      <c r="F11" s="112"/>
      <c r="G11" s="81"/>
      <c r="H11" s="81"/>
      <c r="I11" s="79"/>
      <c r="J11" s="79"/>
      <c r="K11" s="79"/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.75">
      <c r="A12" s="80"/>
      <c r="B12" s="377"/>
      <c r="C12" s="404"/>
      <c r="D12" s="81"/>
      <c r="E12" s="81"/>
      <c r="F12" s="81"/>
      <c r="G12" s="81"/>
      <c r="H12" s="81"/>
      <c r="I12" s="79"/>
      <c r="J12" s="79"/>
      <c r="K12" s="79"/>
      <c r="N12" s="63">
        <v>1</v>
      </c>
      <c r="O12" s="64">
        <v>0</v>
      </c>
      <c r="P12" s="65">
        <f>O12*R7</f>
        <v>0</v>
      </c>
      <c r="Q12" s="63">
        <v>3</v>
      </c>
      <c r="R12" s="64">
        <v>35</v>
      </c>
      <c r="S12" s="65">
        <f>R12*R7</f>
        <v>494.46078431372547</v>
      </c>
    </row>
    <row r="13" spans="1:19" ht="15.75">
      <c r="A13" s="80"/>
      <c r="B13" s="312"/>
      <c r="C13" s="407"/>
      <c r="D13" s="81"/>
      <c r="E13" s="81"/>
      <c r="F13" s="81"/>
      <c r="G13" s="81"/>
      <c r="H13" s="81"/>
      <c r="I13" s="79"/>
      <c r="J13" s="79"/>
      <c r="K13" s="79"/>
      <c r="N13" s="63">
        <v>2</v>
      </c>
      <c r="O13" s="64">
        <v>0</v>
      </c>
      <c r="P13" s="65">
        <f>O13*R7</f>
        <v>0</v>
      </c>
      <c r="Q13" s="63">
        <v>4</v>
      </c>
      <c r="R13" s="64">
        <v>35</v>
      </c>
      <c r="S13" s="65">
        <f>R7*R13</f>
        <v>494.46078431372547</v>
      </c>
    </row>
    <row r="14" spans="1:19" ht="15.75">
      <c r="A14" s="176"/>
      <c r="B14" s="270"/>
      <c r="C14" s="383"/>
      <c r="D14" s="81"/>
      <c r="E14" s="81"/>
      <c r="F14" s="81"/>
      <c r="G14" s="81"/>
      <c r="H14" s="81"/>
      <c r="I14" s="79"/>
      <c r="J14" s="79"/>
      <c r="K14" s="79"/>
      <c r="N14" s="63">
        <v>3</v>
      </c>
      <c r="O14" s="64">
        <v>0</v>
      </c>
      <c r="P14" s="65">
        <f>R7*O14</f>
        <v>0</v>
      </c>
      <c r="Q14" s="63">
        <v>5</v>
      </c>
      <c r="R14" s="64">
        <v>13</v>
      </c>
      <c r="S14" s="65">
        <f>R14*R7</f>
        <v>183.65686274509804</v>
      </c>
    </row>
    <row r="15" spans="1:19" ht="15.75">
      <c r="A15" s="161"/>
      <c r="B15" s="191"/>
      <c r="C15" s="384"/>
      <c r="D15" s="81"/>
      <c r="E15" s="81"/>
      <c r="F15" s="81"/>
      <c r="G15" s="81"/>
      <c r="H15" s="81"/>
      <c r="I15" s="79"/>
      <c r="J15" s="79"/>
      <c r="K15" s="79"/>
      <c r="N15" s="63">
        <v>4</v>
      </c>
      <c r="O15" s="64">
        <v>0</v>
      </c>
      <c r="P15" s="65">
        <f>R7*O15</f>
        <v>0</v>
      </c>
      <c r="Q15" s="63">
        <v>1</v>
      </c>
      <c r="R15" s="64">
        <v>0</v>
      </c>
      <c r="S15" s="65">
        <f>R7*R15</f>
        <v>0</v>
      </c>
    </row>
    <row r="16" spans="1:19" ht="15.75">
      <c r="A16" s="80"/>
      <c r="B16" s="387"/>
      <c r="C16" s="387"/>
      <c r="D16" s="81"/>
      <c r="E16" s="81"/>
      <c r="F16" s="81"/>
      <c r="G16" s="81"/>
      <c r="H16" s="81"/>
      <c r="I16" s="79"/>
      <c r="J16" s="79"/>
      <c r="K16" s="79"/>
      <c r="N16" s="63">
        <v>5</v>
      </c>
      <c r="O16" s="64">
        <v>0</v>
      </c>
      <c r="P16" s="65">
        <f>R7*O16</f>
        <v>0</v>
      </c>
      <c r="Q16" s="63"/>
      <c r="R16" s="64">
        <v>0</v>
      </c>
      <c r="S16" s="65">
        <f>R7*R16</f>
        <v>0</v>
      </c>
    </row>
    <row r="17" spans="1:19" ht="15.75">
      <c r="A17" s="80"/>
      <c r="B17" s="177"/>
      <c r="C17" s="392"/>
      <c r="D17" s="81"/>
      <c r="E17" s="81"/>
      <c r="F17" s="81"/>
      <c r="G17" s="81"/>
      <c r="H17" s="81"/>
      <c r="I17" s="79"/>
      <c r="J17" s="79"/>
      <c r="K17" s="79"/>
      <c r="N17" s="63">
        <v>6</v>
      </c>
      <c r="O17" s="64">
        <v>0</v>
      </c>
      <c r="P17" s="65">
        <f>R7*O17</f>
        <v>0</v>
      </c>
      <c r="Q17" s="63"/>
      <c r="R17" s="64">
        <v>0</v>
      </c>
      <c r="S17" s="65">
        <f>R7*R17</f>
        <v>0</v>
      </c>
    </row>
    <row r="18" spans="1:19" ht="15.75">
      <c r="A18" s="80"/>
      <c r="B18" s="204"/>
      <c r="C18" s="254"/>
      <c r="D18" s="81"/>
      <c r="E18" s="81"/>
      <c r="F18" s="81"/>
      <c r="G18" s="81"/>
      <c r="H18" s="81"/>
      <c r="I18" s="79"/>
      <c r="J18" s="79"/>
      <c r="K18" s="79"/>
      <c r="N18" s="63">
        <v>7</v>
      </c>
      <c r="O18" s="64">
        <v>0</v>
      </c>
      <c r="P18" s="65">
        <f>R7*O18</f>
        <v>0</v>
      </c>
      <c r="Q18" s="63"/>
      <c r="R18" s="64">
        <v>0</v>
      </c>
      <c r="S18" s="65">
        <f>R7*R18</f>
        <v>0</v>
      </c>
    </row>
    <row r="19" spans="1:19" ht="15.75">
      <c r="A19" s="80"/>
      <c r="B19" s="204"/>
      <c r="C19" s="239"/>
      <c r="D19" s="81"/>
      <c r="E19" s="81"/>
      <c r="F19" s="81"/>
      <c r="G19" s="81"/>
      <c r="H19" s="81"/>
      <c r="I19" s="79"/>
      <c r="J19" s="79"/>
      <c r="K19" s="79"/>
      <c r="N19" s="63">
        <v>8</v>
      </c>
      <c r="O19" s="64">
        <v>0</v>
      </c>
      <c r="P19" s="65">
        <f>R7*O19</f>
        <v>0</v>
      </c>
      <c r="Q19" s="63"/>
      <c r="R19" s="64">
        <v>0</v>
      </c>
      <c r="S19" s="65">
        <f>R7*R19</f>
        <v>0</v>
      </c>
    </row>
    <row r="20" spans="1:19" ht="15.75">
      <c r="A20" s="77"/>
      <c r="B20" s="78"/>
      <c r="C20" s="78"/>
      <c r="D20" s="78"/>
      <c r="E20" s="78"/>
      <c r="F20" s="78"/>
      <c r="G20" s="78"/>
      <c r="H20" s="78"/>
      <c r="I20" s="79"/>
      <c r="J20" s="79"/>
      <c r="K20" s="79"/>
      <c r="N20" s="63">
        <v>9</v>
      </c>
      <c r="O20" s="64">
        <v>0</v>
      </c>
      <c r="P20" s="65">
        <f>R7*O20</f>
        <v>0</v>
      </c>
      <c r="Q20" s="63"/>
      <c r="R20" s="64">
        <v>0</v>
      </c>
      <c r="S20" s="65">
        <f>R7*R20</f>
        <v>0</v>
      </c>
    </row>
    <row r="21" spans="1:19" ht="15.75" customHeight="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N21" s="68" t="s">
        <v>53</v>
      </c>
      <c r="O21" s="64">
        <v>0</v>
      </c>
      <c r="P21" s="65">
        <f>R7*O21</f>
        <v>0</v>
      </c>
      <c r="Q21" s="63"/>
      <c r="R21" s="64"/>
      <c r="S21" s="65">
        <f>R7*R21</f>
        <v>0</v>
      </c>
    </row>
    <row r="22" spans="1:19" ht="15.75" customHeight="1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N22" s="59" t="s">
        <v>59</v>
      </c>
      <c r="O22" s="69">
        <f>P8-O12-O13-O14-O15-O16-O17-O18-O19-O20-O21</f>
        <v>110.77419354838709</v>
      </c>
      <c r="P22" s="69">
        <f>Q8-P12-P13-P14-P15-P16-P17-P18-P19-P20-P21</f>
        <v>1564.9569892473116</v>
      </c>
      <c r="Q22" s="59" t="s">
        <v>59</v>
      </c>
      <c r="R22" s="69">
        <f>P8-R12-R13-R14-R15-R16-R17-R18-R19-R20-R21</f>
        <v>27.774193548387089</v>
      </c>
      <c r="S22" s="69">
        <f>Q8-S12-S13-S14-S15-S16-S17-S18-S19-S20-S21</f>
        <v>392.37855787476258</v>
      </c>
    </row>
    <row r="23" spans="1:19" ht="15.75" customHeight="1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N23" s="59" t="s">
        <v>60</v>
      </c>
      <c r="O23" s="62">
        <f>O12+O13+O14+O15+O16+O17+O18+O19+O20+O21</f>
        <v>0</v>
      </c>
      <c r="P23" s="62">
        <f>P12+P13+P14+P15+P16+P17+P18+P19+P20+P21</f>
        <v>0</v>
      </c>
      <c r="Q23" s="59" t="s">
        <v>60</v>
      </c>
      <c r="R23" s="62">
        <f>R12+R13+R14+R15+R16+R17+R18+R19+R20+R21</f>
        <v>83</v>
      </c>
      <c r="S23" s="62">
        <f>S12+S13+S14+S15+S16+S17+S18+S19+S20+S21</f>
        <v>1172.5784313725489</v>
      </c>
    </row>
    <row r="24" spans="1:19" ht="15.75" customHeight="1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</row>
    <row r="25" spans="1:19" ht="15.75" customHeight="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</row>
    <row r="26" spans="1:19" ht="15.75" customHeight="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</row>
    <row r="27" spans="1:19" ht="15.75" customHeight="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</row>
    <row r="28" spans="1:19" ht="15.75" customHeight="1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</row>
    <row r="29" spans="1:19" ht="15.75" customHeight="1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</row>
    <row r="30" spans="1:19" ht="15.75" customHeight="1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</row>
    <row r="31" spans="1:19" ht="15.75" customHeight="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</row>
    <row r="32" spans="1:19" ht="15.75" customHeight="1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</row>
    <row r="33" spans="1:11" ht="15.75" customHeight="1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</row>
    <row r="34" spans="1:11" ht="15.75" customHeight="1"/>
    <row r="35" spans="1:11" ht="15.75" customHeight="1"/>
    <row r="36" spans="1:11" ht="15.75" customHeight="1"/>
    <row r="37" spans="1:11" ht="15.75" customHeight="1"/>
    <row r="38" spans="1:11" ht="15.75" customHeight="1"/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67"/>
      <c r="O55" s="67"/>
      <c r="P55" s="67"/>
      <c r="Q55" s="67"/>
      <c r="R55" s="67"/>
      <c r="S55" s="67"/>
    </row>
    <row r="56" spans="14:19" ht="15.75" customHeight="1">
      <c r="N56" s="72"/>
      <c r="O56" s="72"/>
      <c r="P56" s="72"/>
      <c r="Q56" s="72"/>
      <c r="R56" s="72"/>
      <c r="S56" s="7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66.xml><?xml version="1.0" encoding="utf-8"?>
<worksheet xmlns="http://schemas.openxmlformats.org/spreadsheetml/2006/main" xmlns:r="http://schemas.openxmlformats.org/officeDocument/2006/relationships">
  <sheetPr codeName="Лист39"/>
  <dimension ref="A1:S1000"/>
  <sheetViews>
    <sheetView workbookViewId="0">
      <selection activeCell="G21" sqref="G21"/>
    </sheetView>
  </sheetViews>
  <sheetFormatPr defaultColWidth="14.42578125" defaultRowHeight="15" customHeight="1"/>
  <cols>
    <col min="1" max="1" width="11.140625" style="49" customWidth="1"/>
    <col min="2" max="8" width="8.7109375" style="49" customWidth="1"/>
    <col min="9" max="9" width="14" style="49" customWidth="1"/>
    <col min="10" max="10" width="15.5703125" style="49" customWidth="1"/>
    <col min="11" max="11" width="12.85546875" style="49" customWidth="1"/>
    <col min="12" max="13" width="8.7109375" style="49" customWidth="1"/>
    <col min="14" max="14" width="12" style="49" customWidth="1"/>
    <col min="15" max="15" width="11.5703125" style="49" customWidth="1"/>
    <col min="16" max="16" width="13.5703125" style="49" customWidth="1"/>
    <col min="17" max="17" width="12" style="49" customWidth="1"/>
    <col min="18" max="18" width="10.42578125" style="49" customWidth="1"/>
    <col min="19" max="19" width="12.7109375" style="49" customWidth="1"/>
    <col min="20" max="16384" width="14.42578125" style="49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207</v>
      </c>
    </row>
    <row r="3" spans="1:19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9">
      <c r="A4" s="73" t="s">
        <v>66</v>
      </c>
      <c r="B4" s="73" t="s">
        <v>95</v>
      </c>
      <c r="C4" s="510">
        <f>AVERAGEA(I7:I37)</f>
        <v>0.49440485816998331</v>
      </c>
      <c r="D4" s="511"/>
      <c r="E4" s="510">
        <f>AVERAGEA(J7:J37)</f>
        <v>14.334865472417858</v>
      </c>
      <c r="F4" s="511"/>
      <c r="G4" s="510">
        <f>AVERAGEA(K7:K37)</f>
        <v>1.1773904136535378</v>
      </c>
      <c r="H4" s="511"/>
      <c r="I4" s="74">
        <f>C4*K2</f>
        <v>102.34180564118654</v>
      </c>
      <c r="J4" s="74">
        <f>I4*E4</f>
        <v>1467.0560160707441</v>
      </c>
      <c r="K4" s="74">
        <f>K2*G4</f>
        <v>243.71981562628233</v>
      </c>
    </row>
    <row r="5" spans="1:19" ht="15" customHeight="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20"/>
      <c r="B6" s="520"/>
      <c r="C6" s="520"/>
      <c r="D6" s="520"/>
      <c r="E6" s="520"/>
      <c r="F6" s="54" t="s">
        <v>20</v>
      </c>
      <c r="G6" s="55" t="s">
        <v>21</v>
      </c>
      <c r="H6" s="520"/>
      <c r="I6" s="520"/>
      <c r="J6" s="520"/>
      <c r="K6" s="520"/>
      <c r="N6" s="520"/>
      <c r="O6" s="520"/>
      <c r="P6" s="520"/>
      <c r="Q6" s="520"/>
      <c r="R6" s="520"/>
      <c r="S6" s="520"/>
    </row>
    <row r="7" spans="1:19" ht="15.75">
      <c r="A7" s="56">
        <v>46204</v>
      </c>
      <c r="B7" s="57">
        <v>439</v>
      </c>
      <c r="C7" s="57" t="s">
        <v>104</v>
      </c>
      <c r="D7" s="57">
        <v>242</v>
      </c>
      <c r="E7" s="57">
        <v>50</v>
      </c>
      <c r="F7" s="57">
        <v>131</v>
      </c>
      <c r="G7" s="57">
        <v>1801</v>
      </c>
      <c r="H7" s="57">
        <v>402</v>
      </c>
      <c r="I7" s="58">
        <f t="shared" ref="I7:I13" si="0">F7/(D7+E7)</f>
        <v>0.44863013698630139</v>
      </c>
      <c r="J7" s="58">
        <f t="shared" ref="J7:J13" si="1">G7/F7</f>
        <v>13.748091603053435</v>
      </c>
      <c r="K7" s="58">
        <f t="shared" ref="K7:K13" si="2">H7/(D7+E7)</f>
        <v>1.3767123287671232</v>
      </c>
      <c r="N7" s="59" t="s">
        <v>49</v>
      </c>
      <c r="O7" s="60">
        <f>K2</f>
        <v>207</v>
      </c>
      <c r="P7" s="61">
        <f>I4</f>
        <v>102.34180564118654</v>
      </c>
      <c r="Q7" s="61">
        <f>J4</f>
        <v>1467.0560160707441</v>
      </c>
      <c r="R7" s="539">
        <f>Q7/P7</f>
        <v>14.334865472417858</v>
      </c>
      <c r="S7" s="539">
        <f>P7/O7</f>
        <v>0.49440485816998331</v>
      </c>
    </row>
    <row r="8" spans="1:19" ht="15.75">
      <c r="A8" s="56">
        <v>46207</v>
      </c>
      <c r="B8" s="57">
        <v>439</v>
      </c>
      <c r="C8" s="57" t="s">
        <v>104</v>
      </c>
      <c r="D8" s="57">
        <v>230</v>
      </c>
      <c r="E8" s="57">
        <v>54</v>
      </c>
      <c r="F8" s="57">
        <v>151</v>
      </c>
      <c r="G8" s="57">
        <v>2183</v>
      </c>
      <c r="H8" s="57">
        <v>180</v>
      </c>
      <c r="I8" s="58">
        <f t="shared" si="0"/>
        <v>0.53169014084507038</v>
      </c>
      <c r="J8" s="58">
        <f t="shared" si="1"/>
        <v>14.456953642384105</v>
      </c>
      <c r="K8" s="58">
        <f t="shared" si="2"/>
        <v>0.63380281690140849</v>
      </c>
      <c r="N8" s="59" t="s">
        <v>50</v>
      </c>
      <c r="O8" s="60">
        <f>O7</f>
        <v>207</v>
      </c>
      <c r="P8" s="62">
        <f>O8*S7</f>
        <v>102.34180564118654</v>
      </c>
      <c r="Q8" s="62">
        <f>P8*R7</f>
        <v>1467.0560160707441</v>
      </c>
      <c r="R8" s="520"/>
      <c r="S8" s="520"/>
    </row>
    <row r="9" spans="1:19">
      <c r="A9" s="56">
        <v>46208</v>
      </c>
      <c r="B9" s="57">
        <v>439</v>
      </c>
      <c r="C9" s="57" t="s">
        <v>104</v>
      </c>
      <c r="D9" s="57">
        <v>212</v>
      </c>
      <c r="E9" s="57">
        <v>44</v>
      </c>
      <c r="F9" s="57">
        <v>139</v>
      </c>
      <c r="G9" s="57">
        <v>1943</v>
      </c>
      <c r="H9" s="57">
        <v>131</v>
      </c>
      <c r="I9" s="58">
        <f t="shared" si="0"/>
        <v>0.54296875</v>
      </c>
      <c r="J9" s="58">
        <f t="shared" si="1"/>
        <v>13.97841726618705</v>
      </c>
      <c r="K9" s="58">
        <f t="shared" si="2"/>
        <v>0.51171875</v>
      </c>
      <c r="N9" s="521" t="s">
        <v>51</v>
      </c>
      <c r="O9" s="516"/>
      <c r="P9" s="516"/>
      <c r="Q9" s="516"/>
      <c r="R9" s="516"/>
      <c r="S9" s="511"/>
    </row>
    <row r="10" spans="1:19">
      <c r="A10" s="82">
        <v>46211</v>
      </c>
      <c r="B10" s="57">
        <v>439</v>
      </c>
      <c r="C10" s="83" t="s">
        <v>104</v>
      </c>
      <c r="D10" s="83">
        <v>271</v>
      </c>
      <c r="E10" s="83">
        <v>66</v>
      </c>
      <c r="F10" s="83">
        <v>162</v>
      </c>
      <c r="G10" s="83">
        <v>2427</v>
      </c>
      <c r="H10" s="83">
        <v>485</v>
      </c>
      <c r="I10" s="58">
        <f t="shared" si="0"/>
        <v>0.48071216617210683</v>
      </c>
      <c r="J10" s="58">
        <f t="shared" si="1"/>
        <v>14.981481481481481</v>
      </c>
      <c r="K10" s="58">
        <f t="shared" si="2"/>
        <v>1.4391691394658754</v>
      </c>
      <c r="N10" s="521" t="s">
        <v>52</v>
      </c>
      <c r="O10" s="516"/>
      <c r="P10" s="511"/>
      <c r="Q10" s="521" t="s">
        <v>53</v>
      </c>
      <c r="R10" s="516"/>
      <c r="S10" s="511"/>
    </row>
    <row r="11" spans="1:19">
      <c r="A11" s="82">
        <v>46214</v>
      </c>
      <c r="B11" s="57">
        <v>439</v>
      </c>
      <c r="C11" s="83" t="s">
        <v>104</v>
      </c>
      <c r="D11" s="83">
        <v>303</v>
      </c>
      <c r="E11" s="83">
        <v>59</v>
      </c>
      <c r="F11" s="83">
        <v>183</v>
      </c>
      <c r="G11" s="83">
        <v>2672</v>
      </c>
      <c r="H11" s="83">
        <v>340</v>
      </c>
      <c r="I11" s="58">
        <f t="shared" si="0"/>
        <v>0.50552486187845302</v>
      </c>
      <c r="J11" s="58">
        <f t="shared" si="1"/>
        <v>14.601092896174864</v>
      </c>
      <c r="K11" s="58">
        <f t="shared" si="2"/>
        <v>0.93922651933701662</v>
      </c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.75">
      <c r="A12" s="80">
        <v>46215</v>
      </c>
      <c r="B12" s="78">
        <v>439</v>
      </c>
      <c r="C12" s="78" t="s">
        <v>104</v>
      </c>
      <c r="D12" s="78">
        <v>245</v>
      </c>
      <c r="E12" s="78">
        <v>52</v>
      </c>
      <c r="F12" s="78">
        <v>148</v>
      </c>
      <c r="G12" s="78">
        <v>2138</v>
      </c>
      <c r="H12" s="78">
        <v>433</v>
      </c>
      <c r="I12" s="58">
        <f t="shared" si="0"/>
        <v>0.49831649831649832</v>
      </c>
      <c r="J12" s="58">
        <f t="shared" si="1"/>
        <v>14.445945945945946</v>
      </c>
      <c r="K12" s="58">
        <f t="shared" si="2"/>
        <v>1.4579124579124578</v>
      </c>
      <c r="N12" s="63">
        <v>1</v>
      </c>
      <c r="O12" s="64">
        <v>30</v>
      </c>
      <c r="P12" s="65">
        <f>O12*R7</f>
        <v>430.04596417253578</v>
      </c>
      <c r="Q12" s="63">
        <v>3</v>
      </c>
      <c r="R12" s="64">
        <v>40</v>
      </c>
      <c r="S12" s="65">
        <f>R12*R7</f>
        <v>573.39461889671429</v>
      </c>
    </row>
    <row r="13" spans="1:19" ht="15.75">
      <c r="A13" s="80">
        <v>46218</v>
      </c>
      <c r="B13" s="345">
        <v>439</v>
      </c>
      <c r="C13" s="441" t="s">
        <v>104</v>
      </c>
      <c r="D13" s="81">
        <v>282</v>
      </c>
      <c r="E13" s="81">
        <v>69</v>
      </c>
      <c r="F13" s="81">
        <v>159</v>
      </c>
      <c r="G13" s="81">
        <v>2247</v>
      </c>
      <c r="H13" s="81">
        <v>661</v>
      </c>
      <c r="I13" s="58">
        <f t="shared" si="0"/>
        <v>0.45299145299145299</v>
      </c>
      <c r="J13" s="58">
        <f t="shared" si="1"/>
        <v>14.132075471698114</v>
      </c>
      <c r="K13" s="58">
        <f t="shared" si="2"/>
        <v>1.8831908831908832</v>
      </c>
      <c r="N13" s="63">
        <v>2</v>
      </c>
      <c r="O13" s="64">
        <v>30</v>
      </c>
      <c r="P13" s="65">
        <f>O13*R7</f>
        <v>430.04596417253578</v>
      </c>
      <c r="Q13" s="63">
        <v>4</v>
      </c>
      <c r="R13" s="64">
        <v>40</v>
      </c>
      <c r="S13" s="65">
        <f>R7*R13</f>
        <v>573.39461889671429</v>
      </c>
    </row>
    <row r="14" spans="1:19" ht="15.75">
      <c r="A14" s="80"/>
      <c r="B14" s="347"/>
      <c r="C14" s="401"/>
      <c r="D14" s="81"/>
      <c r="E14" s="81"/>
      <c r="F14" s="81"/>
      <c r="G14" s="81"/>
      <c r="H14" s="81"/>
      <c r="I14" s="58"/>
      <c r="J14" s="58"/>
      <c r="K14" s="58"/>
      <c r="N14" s="63">
        <v>3</v>
      </c>
      <c r="O14" s="64">
        <v>30</v>
      </c>
      <c r="P14" s="65">
        <f>R7*O14</f>
        <v>430.04596417253578</v>
      </c>
      <c r="Q14" s="63">
        <v>5</v>
      </c>
      <c r="R14" s="64">
        <v>32</v>
      </c>
      <c r="S14" s="65">
        <f>R14*R7</f>
        <v>458.71569511737147</v>
      </c>
    </row>
    <row r="15" spans="1:19" ht="15.75">
      <c r="A15" s="80"/>
      <c r="B15" s="319"/>
      <c r="C15" s="401"/>
      <c r="D15" s="81"/>
      <c r="E15" s="81"/>
      <c r="F15" s="81"/>
      <c r="G15" s="81"/>
      <c r="H15" s="81"/>
      <c r="I15" s="58"/>
      <c r="J15" s="58"/>
      <c r="K15" s="58"/>
      <c r="N15" s="63">
        <v>4</v>
      </c>
      <c r="O15" s="64">
        <v>30</v>
      </c>
      <c r="P15" s="65">
        <f>R7*O15</f>
        <v>430.04596417253578</v>
      </c>
      <c r="Q15" s="63">
        <v>1</v>
      </c>
      <c r="R15" s="64">
        <v>0</v>
      </c>
      <c r="S15" s="65">
        <f>R7*R15</f>
        <v>0</v>
      </c>
    </row>
    <row r="16" spans="1:19" ht="15.75">
      <c r="A16" s="80"/>
      <c r="B16" s="379"/>
      <c r="C16" s="403"/>
      <c r="D16" s="81"/>
      <c r="E16" s="81"/>
      <c r="F16" s="81"/>
      <c r="G16" s="81"/>
      <c r="H16" s="81"/>
      <c r="I16" s="58"/>
      <c r="J16" s="58"/>
      <c r="K16" s="58"/>
      <c r="N16" s="63">
        <v>5</v>
      </c>
      <c r="O16" s="64">
        <v>30</v>
      </c>
      <c r="P16" s="65">
        <f>R7*O16</f>
        <v>430.04596417253578</v>
      </c>
      <c r="Q16" s="63"/>
      <c r="R16" s="64">
        <v>0</v>
      </c>
      <c r="S16" s="65">
        <f>R7*R16</f>
        <v>0</v>
      </c>
    </row>
    <row r="17" spans="1:19" ht="15.75">
      <c r="A17" s="80"/>
      <c r="B17" s="355"/>
      <c r="C17" s="404"/>
      <c r="D17" s="81"/>
      <c r="E17" s="81"/>
      <c r="F17" s="81"/>
      <c r="G17" s="81"/>
      <c r="H17" s="81"/>
      <c r="I17" s="58"/>
      <c r="J17" s="58"/>
      <c r="K17" s="58"/>
      <c r="N17" s="63">
        <v>6</v>
      </c>
      <c r="O17" s="64">
        <v>0</v>
      </c>
      <c r="P17" s="65">
        <f>R7*O17</f>
        <v>0</v>
      </c>
      <c r="Q17" s="63"/>
      <c r="R17" s="64">
        <v>0</v>
      </c>
      <c r="S17" s="65">
        <f>R7*R17</f>
        <v>0</v>
      </c>
    </row>
    <row r="18" spans="1:19" ht="15.75">
      <c r="A18" s="160"/>
      <c r="B18" s="357"/>
      <c r="C18" s="407"/>
      <c r="D18" s="81"/>
      <c r="E18" s="81"/>
      <c r="F18" s="81"/>
      <c r="G18" s="81"/>
      <c r="H18" s="81"/>
      <c r="I18" s="58"/>
      <c r="J18" s="58"/>
      <c r="K18" s="58"/>
      <c r="N18" s="63">
        <v>7</v>
      </c>
      <c r="O18" s="64">
        <v>0</v>
      </c>
      <c r="P18" s="65">
        <f>R7*O18</f>
        <v>0</v>
      </c>
      <c r="Q18" s="63"/>
      <c r="R18" s="64">
        <v>0</v>
      </c>
      <c r="S18" s="65">
        <f>R7*R18</f>
        <v>0</v>
      </c>
    </row>
    <row r="19" spans="1:19" ht="15.75">
      <c r="A19" s="410"/>
      <c r="B19" s="411"/>
      <c r="C19" s="411"/>
      <c r="D19" s="99"/>
      <c r="E19" s="99"/>
      <c r="F19" s="99"/>
      <c r="G19" s="99"/>
      <c r="H19" s="99"/>
      <c r="I19" s="58"/>
      <c r="J19" s="58"/>
      <c r="K19" s="58"/>
      <c r="N19" s="63">
        <v>8</v>
      </c>
      <c r="O19" s="64">
        <v>0</v>
      </c>
      <c r="P19" s="65">
        <f>R7*O19</f>
        <v>0</v>
      </c>
      <c r="Q19" s="63"/>
      <c r="R19" s="64">
        <v>0</v>
      </c>
      <c r="S19" s="65">
        <f>R7*R19</f>
        <v>0</v>
      </c>
    </row>
    <row r="20" spans="1:19" ht="15.75">
      <c r="A20" s="80"/>
      <c r="B20" s="360"/>
      <c r="C20" s="409"/>
      <c r="D20" s="81"/>
      <c r="E20" s="81"/>
      <c r="F20" s="81"/>
      <c r="G20" s="330"/>
      <c r="H20" s="81"/>
      <c r="I20" s="58"/>
      <c r="J20" s="58"/>
      <c r="K20" s="58"/>
      <c r="N20" s="63">
        <v>9</v>
      </c>
      <c r="O20" s="64">
        <v>0</v>
      </c>
      <c r="P20" s="65">
        <f>R7*O20</f>
        <v>0</v>
      </c>
      <c r="Q20" s="63"/>
      <c r="R20" s="64">
        <v>0</v>
      </c>
      <c r="S20" s="65">
        <f>R7*R20</f>
        <v>0</v>
      </c>
    </row>
    <row r="21" spans="1:19" ht="15.75" customHeight="1">
      <c r="A21" s="80"/>
      <c r="B21" s="416"/>
      <c r="C21" s="416"/>
      <c r="D21" s="81"/>
      <c r="E21" s="81"/>
      <c r="F21" s="81"/>
      <c r="G21" s="81"/>
      <c r="H21" s="81"/>
      <c r="I21" s="58"/>
      <c r="J21" s="58"/>
      <c r="K21" s="58"/>
      <c r="N21" s="68" t="s">
        <v>53</v>
      </c>
      <c r="O21" s="64">
        <v>0</v>
      </c>
      <c r="P21" s="65">
        <f>R7*O21</f>
        <v>0</v>
      </c>
      <c r="Q21" s="63"/>
      <c r="R21" s="64"/>
      <c r="S21" s="65">
        <f>R7*R21</f>
        <v>0</v>
      </c>
    </row>
    <row r="22" spans="1:19" ht="15.75" customHeight="1">
      <c r="A22" s="80"/>
      <c r="B22" s="364"/>
      <c r="C22" s="364"/>
      <c r="D22" s="81"/>
      <c r="E22" s="81"/>
      <c r="F22" s="81"/>
      <c r="G22" s="81"/>
      <c r="H22" s="81"/>
      <c r="I22" s="58"/>
      <c r="J22" s="58"/>
      <c r="K22" s="58"/>
      <c r="N22" s="59" t="s">
        <v>59</v>
      </c>
      <c r="O22" s="69">
        <f>P8-O12-O13-O14-O15-O16-O17-O18-O19-O20-O21</f>
        <v>-47.658194358813461</v>
      </c>
      <c r="P22" s="69">
        <f>Q8-P12-P13-P14-P15-P16-P17-P18-P19-P20-P21</f>
        <v>-683.1738047919348</v>
      </c>
      <c r="Q22" s="59" t="s">
        <v>59</v>
      </c>
      <c r="R22" s="69">
        <f>P8-R12-R13-R14-R15-R16-R17-R18-R19-R20-R21</f>
        <v>-9.6581943588134607</v>
      </c>
      <c r="S22" s="69">
        <f>Q8-S12-S13-S14-S15-S16-S17-S18-S19-S20-S21</f>
        <v>-138.44891684005592</v>
      </c>
    </row>
    <row r="23" spans="1:19" ht="15.75" customHeight="1">
      <c r="A23" s="80"/>
      <c r="B23" s="334"/>
      <c r="C23" s="334"/>
      <c r="D23" s="81"/>
      <c r="E23" s="81"/>
      <c r="F23" s="81"/>
      <c r="G23" s="81"/>
      <c r="H23" s="81"/>
      <c r="I23" s="58"/>
      <c r="J23" s="58"/>
      <c r="K23" s="58"/>
      <c r="N23" s="59" t="s">
        <v>60</v>
      </c>
      <c r="O23" s="62">
        <f>O12+O13+O14+O15+O16+O17+O18+O19+O20+O21</f>
        <v>150</v>
      </c>
      <c r="P23" s="62">
        <f>P12+P13+P14+P15+P16+P17+P18+P19+P20+P21</f>
        <v>2150.2298208626789</v>
      </c>
      <c r="Q23" s="59" t="s">
        <v>60</v>
      </c>
      <c r="R23" s="62">
        <f>R12+R13+R14+R15+R16+R17+R18+R19+R20+R21</f>
        <v>112</v>
      </c>
      <c r="S23" s="62">
        <f>S12+S13+S14+S15+S16+S17+S18+S19+S20+S21</f>
        <v>1605.5049329108001</v>
      </c>
    </row>
    <row r="24" spans="1:19" ht="15.75" customHeight="1">
      <c r="A24" s="80"/>
      <c r="B24" s="310"/>
      <c r="C24" s="336"/>
      <c r="D24" s="81"/>
      <c r="E24" s="81"/>
      <c r="F24" s="81"/>
      <c r="G24" s="81"/>
      <c r="H24" s="81"/>
      <c r="I24" s="108"/>
      <c r="J24" s="58"/>
      <c r="K24" s="58"/>
    </row>
    <row r="25" spans="1:19" ht="15.75" customHeight="1">
      <c r="A25" s="98"/>
      <c r="B25" s="205"/>
      <c r="C25" s="313"/>
      <c r="D25" s="167"/>
      <c r="E25" s="99"/>
      <c r="F25" s="99"/>
      <c r="G25" s="99"/>
      <c r="H25" s="99"/>
      <c r="I25" s="120"/>
      <c r="J25" s="84"/>
      <c r="K25" s="84"/>
    </row>
    <row r="26" spans="1:19" ht="15.75" customHeight="1">
      <c r="A26" s="80"/>
      <c r="B26" s="314"/>
      <c r="C26" s="314"/>
      <c r="D26" s="81"/>
      <c r="E26" s="81"/>
      <c r="F26" s="81"/>
      <c r="G26" s="81"/>
      <c r="H26" s="81"/>
      <c r="I26" s="120"/>
      <c r="J26" s="79"/>
      <c r="K26" s="79"/>
    </row>
    <row r="27" spans="1:19" ht="15.75" customHeight="1">
      <c r="A27" s="80"/>
      <c r="B27" s="254"/>
      <c r="C27" s="314"/>
      <c r="D27" s="81"/>
      <c r="E27" s="81"/>
      <c r="F27" s="81"/>
      <c r="G27" s="81"/>
      <c r="H27" s="81"/>
      <c r="I27" s="79"/>
      <c r="J27" s="79"/>
      <c r="K27" s="79"/>
    </row>
    <row r="28" spans="1:19" ht="15.75" customHeight="1">
      <c r="A28" s="80"/>
      <c r="B28" s="178"/>
      <c r="C28" s="241"/>
      <c r="D28" s="81"/>
      <c r="E28" s="81"/>
      <c r="F28" s="81"/>
      <c r="G28" s="81"/>
      <c r="H28" s="81"/>
      <c r="I28" s="79"/>
      <c r="J28" s="79"/>
      <c r="K28" s="79"/>
    </row>
    <row r="29" spans="1:19" ht="15.75" customHeight="1">
      <c r="A29" s="80"/>
      <c r="B29" s="81"/>
      <c r="C29" s="218"/>
      <c r="D29" s="81"/>
      <c r="E29" s="81"/>
      <c r="F29" s="81"/>
      <c r="G29" s="81"/>
      <c r="H29" s="81"/>
      <c r="I29" s="79"/>
      <c r="J29" s="79"/>
      <c r="K29" s="79"/>
    </row>
    <row r="30" spans="1:19" ht="15.75" customHeight="1"/>
    <row r="31" spans="1:19" ht="15.75" customHeight="1"/>
    <row r="32" spans="1:1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67"/>
      <c r="O55" s="67"/>
      <c r="P55" s="67"/>
      <c r="Q55" s="67"/>
      <c r="R55" s="67"/>
      <c r="S55" s="67"/>
    </row>
    <row r="56" spans="14:19" ht="15.75" customHeight="1">
      <c r="N56" s="72"/>
      <c r="O56" s="72"/>
      <c r="P56" s="72"/>
      <c r="Q56" s="72"/>
      <c r="R56" s="72"/>
      <c r="S56" s="7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67.xml><?xml version="1.0" encoding="utf-8"?>
<worksheet xmlns="http://schemas.openxmlformats.org/spreadsheetml/2006/main" xmlns:r="http://schemas.openxmlformats.org/officeDocument/2006/relationships">
  <sheetPr codeName="Лист40">
    <outlinePr summaryBelow="0" summaryRight="0"/>
  </sheetPr>
  <dimension ref="A1:S1000"/>
  <sheetViews>
    <sheetView workbookViewId="0">
      <selection activeCell="I13" sqref="I13"/>
    </sheetView>
  </sheetViews>
  <sheetFormatPr defaultColWidth="14.42578125" defaultRowHeight="15" customHeight="1"/>
  <cols>
    <col min="1" max="1" width="11.140625" style="49" customWidth="1"/>
    <col min="2" max="8" width="8.7109375" style="49" customWidth="1"/>
    <col min="9" max="9" width="14" style="49" customWidth="1"/>
    <col min="10" max="10" width="15.5703125" style="49" customWidth="1"/>
    <col min="11" max="11" width="12.85546875" style="49" customWidth="1"/>
    <col min="12" max="13" width="8.7109375" style="49" customWidth="1"/>
    <col min="14" max="14" width="12" style="49" customWidth="1"/>
    <col min="15" max="15" width="11.5703125" style="49" customWidth="1"/>
    <col min="16" max="16" width="13.5703125" style="49" customWidth="1"/>
    <col min="17" max="17" width="12" style="49" customWidth="1"/>
    <col min="18" max="18" width="10.42578125" style="49" customWidth="1"/>
    <col min="19" max="19" width="12.7109375" style="49" customWidth="1"/>
    <col min="20" max="16384" width="14.42578125" style="49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93</v>
      </c>
    </row>
    <row r="3" spans="1:19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9">
      <c r="A4" s="73" t="s">
        <v>66</v>
      </c>
      <c r="B4" s="73" t="s">
        <v>96</v>
      </c>
      <c r="C4" s="510">
        <f>AVERAGEA(I7:I40)</f>
        <v>0.52585194653409995</v>
      </c>
      <c r="D4" s="511"/>
      <c r="E4" s="510">
        <f>AVERAGEA(J7:J40)</f>
        <v>13.693522984951557</v>
      </c>
      <c r="F4" s="511"/>
      <c r="G4" s="510">
        <f>AVERAGEA(K7:K40)</f>
        <v>2.0827420425047047</v>
      </c>
      <c r="H4" s="511"/>
      <c r="I4" s="74">
        <f>C4*K2</f>
        <v>48.904231027671294</v>
      </c>
      <c r="J4" s="74">
        <f>I4*E4</f>
        <v>669.6712116387979</v>
      </c>
      <c r="K4" s="74">
        <f>K2*G4</f>
        <v>193.69500995293754</v>
      </c>
    </row>
    <row r="5" spans="1:19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20"/>
      <c r="B6" s="520"/>
      <c r="C6" s="520"/>
      <c r="D6" s="520"/>
      <c r="E6" s="520"/>
      <c r="F6" s="54" t="s">
        <v>20</v>
      </c>
      <c r="G6" s="55" t="s">
        <v>21</v>
      </c>
      <c r="H6" s="520"/>
      <c r="I6" s="520"/>
      <c r="J6" s="520"/>
      <c r="K6" s="520"/>
      <c r="N6" s="520"/>
      <c r="O6" s="520"/>
      <c r="P6" s="520"/>
      <c r="Q6" s="520"/>
      <c r="R6" s="520"/>
      <c r="S6" s="520"/>
    </row>
    <row r="7" spans="1:19" ht="15.75">
      <c r="A7" s="82">
        <v>46204</v>
      </c>
      <c r="B7" s="83">
        <v>979</v>
      </c>
      <c r="C7" s="83" t="s">
        <v>62</v>
      </c>
      <c r="D7" s="83">
        <v>113</v>
      </c>
      <c r="E7" s="83">
        <v>17</v>
      </c>
      <c r="F7" s="83">
        <v>66</v>
      </c>
      <c r="G7" s="83">
        <v>884</v>
      </c>
      <c r="H7" s="83">
        <v>171</v>
      </c>
      <c r="I7" s="84">
        <f t="shared" ref="I7:I13" si="0">F7/(D7+E7)</f>
        <v>0.50769230769230766</v>
      </c>
      <c r="J7" s="84">
        <f t="shared" ref="J7:J13" si="1">G7/F7</f>
        <v>13.393939393939394</v>
      </c>
      <c r="K7" s="84">
        <f t="shared" ref="K7:K13" si="2">H7/(D7+E7)</f>
        <v>1.3153846153846154</v>
      </c>
      <c r="N7" s="59" t="s">
        <v>49</v>
      </c>
      <c r="O7" s="60">
        <f>K2</f>
        <v>93</v>
      </c>
      <c r="P7" s="61">
        <f>I4</f>
        <v>48.904231027671294</v>
      </c>
      <c r="Q7" s="61">
        <f>J4</f>
        <v>669.6712116387979</v>
      </c>
      <c r="R7" s="539">
        <f>Q7/P7</f>
        <v>13.693522984951557</v>
      </c>
      <c r="S7" s="539">
        <f>P7/O7</f>
        <v>0.52585194653409995</v>
      </c>
    </row>
    <row r="8" spans="1:19" ht="15.75">
      <c r="A8" s="246">
        <v>46206</v>
      </c>
      <c r="B8" s="337">
        <v>979</v>
      </c>
      <c r="C8" s="420" t="s">
        <v>62</v>
      </c>
      <c r="D8" s="81">
        <v>128</v>
      </c>
      <c r="E8" s="81">
        <v>24</v>
      </c>
      <c r="F8" s="81">
        <v>63</v>
      </c>
      <c r="G8" s="81">
        <v>905</v>
      </c>
      <c r="H8" s="81">
        <v>380</v>
      </c>
      <c r="I8" s="84">
        <f t="shared" si="0"/>
        <v>0.41447368421052633</v>
      </c>
      <c r="J8" s="84">
        <f t="shared" si="1"/>
        <v>14.365079365079366</v>
      </c>
      <c r="K8" s="84">
        <f t="shared" si="2"/>
        <v>2.5</v>
      </c>
      <c r="N8" s="59" t="s">
        <v>50</v>
      </c>
      <c r="O8" s="60">
        <f>O7</f>
        <v>93</v>
      </c>
      <c r="P8" s="62">
        <f>O8*S7</f>
        <v>48.904231027671294</v>
      </c>
      <c r="Q8" s="62">
        <f>P8*R7</f>
        <v>669.6712116387979</v>
      </c>
      <c r="R8" s="520"/>
      <c r="S8" s="520"/>
    </row>
    <row r="9" spans="1:19">
      <c r="A9" s="80">
        <v>46207</v>
      </c>
      <c r="B9" s="424" t="s">
        <v>154</v>
      </c>
      <c r="C9" s="424" t="s">
        <v>65</v>
      </c>
      <c r="D9" s="81">
        <v>59</v>
      </c>
      <c r="E9" s="81">
        <v>8</v>
      </c>
      <c r="F9" s="81">
        <v>45</v>
      </c>
      <c r="G9" s="81">
        <v>670</v>
      </c>
      <c r="H9" s="81">
        <v>226</v>
      </c>
      <c r="I9" s="84">
        <f t="shared" si="0"/>
        <v>0.67164179104477617</v>
      </c>
      <c r="J9" s="84">
        <f t="shared" si="1"/>
        <v>14.888888888888889</v>
      </c>
      <c r="K9" s="84">
        <f t="shared" si="2"/>
        <v>3.3731343283582089</v>
      </c>
      <c r="N9" s="521" t="s">
        <v>51</v>
      </c>
      <c r="O9" s="516"/>
      <c r="P9" s="516"/>
      <c r="Q9" s="516"/>
      <c r="R9" s="516"/>
      <c r="S9" s="511"/>
    </row>
    <row r="10" spans="1:19">
      <c r="A10" s="80">
        <v>46211</v>
      </c>
      <c r="B10" s="432" t="s">
        <v>154</v>
      </c>
      <c r="C10" s="432" t="s">
        <v>65</v>
      </c>
      <c r="D10" s="81">
        <v>87</v>
      </c>
      <c r="E10" s="81">
        <v>17</v>
      </c>
      <c r="F10" s="81">
        <v>50</v>
      </c>
      <c r="G10" s="81">
        <v>628</v>
      </c>
      <c r="H10" s="81">
        <v>203</v>
      </c>
      <c r="I10" s="84">
        <f t="shared" si="0"/>
        <v>0.48076923076923078</v>
      </c>
      <c r="J10" s="84">
        <f t="shared" si="1"/>
        <v>12.56</v>
      </c>
      <c r="K10" s="84">
        <f t="shared" si="2"/>
        <v>1.9519230769230769</v>
      </c>
      <c r="N10" s="521" t="s">
        <v>52</v>
      </c>
      <c r="O10" s="516"/>
      <c r="P10" s="511"/>
      <c r="Q10" s="521" t="s">
        <v>53</v>
      </c>
      <c r="R10" s="516"/>
      <c r="S10" s="511"/>
    </row>
    <row r="11" spans="1:19">
      <c r="A11" s="211">
        <v>46213</v>
      </c>
      <c r="B11" s="433">
        <v>979</v>
      </c>
      <c r="C11" s="433" t="s">
        <v>62</v>
      </c>
      <c r="D11" s="81">
        <v>145</v>
      </c>
      <c r="E11" s="81">
        <v>38</v>
      </c>
      <c r="F11" s="81">
        <v>90</v>
      </c>
      <c r="G11" s="402">
        <v>1156</v>
      </c>
      <c r="H11" s="81">
        <v>215</v>
      </c>
      <c r="I11" s="84">
        <f t="shared" si="0"/>
        <v>0.49180327868852458</v>
      </c>
      <c r="J11" s="84">
        <f t="shared" si="1"/>
        <v>12.844444444444445</v>
      </c>
      <c r="K11" s="84">
        <f t="shared" si="2"/>
        <v>1.174863387978142</v>
      </c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.75">
      <c r="A12" s="80">
        <v>46214</v>
      </c>
      <c r="B12" s="435" t="s">
        <v>154</v>
      </c>
      <c r="C12" s="435" t="s">
        <v>65</v>
      </c>
      <c r="D12" s="81">
        <v>84</v>
      </c>
      <c r="E12" s="81">
        <v>12</v>
      </c>
      <c r="F12" s="81">
        <v>63</v>
      </c>
      <c r="G12" s="81">
        <v>839</v>
      </c>
      <c r="H12" s="81">
        <v>200</v>
      </c>
      <c r="I12" s="84">
        <f t="shared" si="0"/>
        <v>0.65625</v>
      </c>
      <c r="J12" s="84">
        <f t="shared" si="1"/>
        <v>13.317460317460318</v>
      </c>
      <c r="K12" s="84">
        <f t="shared" si="2"/>
        <v>2.0833333333333335</v>
      </c>
      <c r="N12" s="63">
        <v>1</v>
      </c>
      <c r="O12" s="64">
        <v>0</v>
      </c>
      <c r="P12" s="65">
        <f>O12*R7</f>
        <v>0</v>
      </c>
      <c r="Q12" s="63">
        <v>3</v>
      </c>
      <c r="R12" s="64">
        <v>30</v>
      </c>
      <c r="S12" s="65">
        <f>R12*R7</f>
        <v>410.8056895485467</v>
      </c>
    </row>
    <row r="13" spans="1:19" ht="15.75">
      <c r="A13" s="80">
        <v>46218</v>
      </c>
      <c r="B13" s="276">
        <v>979</v>
      </c>
      <c r="C13" s="441" t="s">
        <v>62</v>
      </c>
      <c r="D13" s="81">
        <v>122</v>
      </c>
      <c r="E13" s="81">
        <v>22</v>
      </c>
      <c r="F13" s="81">
        <v>66</v>
      </c>
      <c r="G13" s="81">
        <v>956</v>
      </c>
      <c r="H13" s="81">
        <v>314</v>
      </c>
      <c r="I13" s="79">
        <f t="shared" si="0"/>
        <v>0.45833333333333331</v>
      </c>
      <c r="J13" s="79">
        <f t="shared" si="1"/>
        <v>14.484848484848484</v>
      </c>
      <c r="K13" s="79">
        <f t="shared" si="2"/>
        <v>2.1805555555555554</v>
      </c>
      <c r="N13" s="63">
        <v>2</v>
      </c>
      <c r="O13" s="64">
        <v>0</v>
      </c>
      <c r="P13" s="65">
        <f>O13*R7</f>
        <v>0</v>
      </c>
      <c r="Q13" s="63">
        <v>4</v>
      </c>
      <c r="R13" s="64">
        <v>29</v>
      </c>
      <c r="S13" s="65">
        <f>R7*R13</f>
        <v>397.11216656359511</v>
      </c>
    </row>
    <row r="14" spans="1:19" ht="15.75">
      <c r="A14" s="80"/>
      <c r="B14" s="250"/>
      <c r="C14" s="407"/>
      <c r="D14" s="81"/>
      <c r="E14" s="81"/>
      <c r="F14" s="81"/>
      <c r="G14" s="81"/>
      <c r="H14" s="81"/>
      <c r="I14" s="79"/>
      <c r="J14" s="79"/>
      <c r="K14" s="79"/>
      <c r="N14" s="63">
        <v>3</v>
      </c>
      <c r="O14" s="64">
        <v>0</v>
      </c>
      <c r="P14" s="65">
        <f>R7*O14</f>
        <v>0</v>
      </c>
      <c r="Q14" s="63">
        <v>5</v>
      </c>
      <c r="R14" s="64">
        <v>0</v>
      </c>
      <c r="S14" s="65">
        <f>R14*R7</f>
        <v>0</v>
      </c>
    </row>
    <row r="15" spans="1:19" ht="15.75">
      <c r="A15" s="80"/>
      <c r="B15" s="251"/>
      <c r="C15" s="387"/>
      <c r="D15" s="81"/>
      <c r="E15" s="81"/>
      <c r="F15" s="81"/>
      <c r="G15" s="81"/>
      <c r="H15" s="81"/>
      <c r="I15" s="79"/>
      <c r="J15" s="79"/>
      <c r="K15" s="79"/>
      <c r="N15" s="63">
        <v>4</v>
      </c>
      <c r="O15" s="64">
        <v>0</v>
      </c>
      <c r="P15" s="65">
        <f>R7*O15</f>
        <v>0</v>
      </c>
      <c r="Q15" s="63">
        <v>1</v>
      </c>
      <c r="R15" s="64">
        <v>0</v>
      </c>
      <c r="S15" s="65">
        <f>R7*R15</f>
        <v>0</v>
      </c>
    </row>
    <row r="16" spans="1:19" ht="15.75">
      <c r="A16" s="80"/>
      <c r="B16" s="392"/>
      <c r="C16" s="392"/>
      <c r="D16" s="81"/>
      <c r="E16" s="81"/>
      <c r="F16" s="81"/>
      <c r="G16" s="81"/>
      <c r="H16" s="81"/>
      <c r="I16" s="79"/>
      <c r="J16" s="79"/>
      <c r="K16" s="79"/>
      <c r="N16" s="63">
        <v>5</v>
      </c>
      <c r="O16" s="64">
        <v>0</v>
      </c>
      <c r="P16" s="65">
        <f>R7*O16</f>
        <v>0</v>
      </c>
      <c r="Q16" s="63"/>
      <c r="R16" s="64">
        <v>0</v>
      </c>
      <c r="S16" s="65">
        <f>R7*R16</f>
        <v>0</v>
      </c>
    </row>
    <row r="17" spans="1:19" ht="15.75">
      <c r="A17" s="80"/>
      <c r="B17" s="225"/>
      <c r="C17" s="254"/>
      <c r="D17" s="81"/>
      <c r="E17" s="81"/>
      <c r="F17" s="81"/>
      <c r="G17" s="81"/>
      <c r="H17" s="81"/>
      <c r="I17" s="79"/>
      <c r="J17" s="79"/>
      <c r="K17" s="79"/>
      <c r="N17" s="63">
        <v>6</v>
      </c>
      <c r="O17" s="64">
        <v>0</v>
      </c>
      <c r="P17" s="65">
        <f>R7*O17</f>
        <v>0</v>
      </c>
      <c r="Q17" s="63">
        <v>4</v>
      </c>
      <c r="R17" s="64">
        <v>0</v>
      </c>
      <c r="S17" s="65">
        <f>R7*R17</f>
        <v>0</v>
      </c>
    </row>
    <row r="18" spans="1:19" ht="15.75">
      <c r="A18" s="80"/>
      <c r="B18" s="255"/>
      <c r="C18" s="255"/>
      <c r="D18" s="81"/>
      <c r="E18" s="81"/>
      <c r="F18" s="81"/>
      <c r="G18" s="81"/>
      <c r="H18" s="81"/>
      <c r="I18" s="79"/>
      <c r="J18" s="79"/>
      <c r="K18" s="79"/>
      <c r="N18" s="63">
        <v>7</v>
      </c>
      <c r="O18" s="64">
        <v>0</v>
      </c>
      <c r="P18" s="65">
        <f>R7*O18</f>
        <v>0</v>
      </c>
      <c r="Q18" s="63"/>
      <c r="R18" s="64">
        <v>0</v>
      </c>
      <c r="S18" s="65">
        <f>R7*R18</f>
        <v>0</v>
      </c>
    </row>
    <row r="19" spans="1:19" ht="15.75">
      <c r="A19" s="80"/>
      <c r="B19" s="239"/>
      <c r="C19" s="239"/>
      <c r="D19" s="81"/>
      <c r="E19" s="81"/>
      <c r="F19" s="81"/>
      <c r="G19" s="81"/>
      <c r="H19" s="81"/>
      <c r="I19" s="79"/>
      <c r="J19" s="79"/>
      <c r="K19" s="79"/>
      <c r="N19" s="63">
        <v>8</v>
      </c>
      <c r="O19" s="64">
        <v>0</v>
      </c>
      <c r="P19" s="65">
        <f>R7*O19</f>
        <v>0</v>
      </c>
      <c r="Q19" s="63"/>
      <c r="R19" s="64">
        <v>0</v>
      </c>
      <c r="S19" s="65">
        <f>R7*R19</f>
        <v>0</v>
      </c>
    </row>
    <row r="20" spans="1:19" ht="15" customHeight="1">
      <c r="A20" s="80"/>
      <c r="B20" s="245"/>
      <c r="C20" s="245"/>
      <c r="D20" s="81"/>
      <c r="E20" s="81"/>
      <c r="F20" s="81"/>
      <c r="G20" s="81"/>
      <c r="H20" s="81"/>
      <c r="I20" s="79"/>
      <c r="J20" s="79"/>
      <c r="K20" s="79"/>
      <c r="N20" s="63">
        <v>9</v>
      </c>
      <c r="O20" s="64">
        <v>0</v>
      </c>
      <c r="P20" s="65">
        <f>R7*O20</f>
        <v>0</v>
      </c>
      <c r="Q20" s="63"/>
      <c r="R20" s="64">
        <v>0</v>
      </c>
      <c r="S20" s="65">
        <f>R7*R20</f>
        <v>0</v>
      </c>
    </row>
    <row r="21" spans="1:19" ht="15" customHeight="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N21" s="68" t="s">
        <v>53</v>
      </c>
      <c r="O21" s="64">
        <v>0</v>
      </c>
      <c r="P21" s="65">
        <f>R7*O21</f>
        <v>0</v>
      </c>
      <c r="Q21" s="63"/>
      <c r="R21" s="64"/>
      <c r="S21" s="65">
        <f>R7*R21</f>
        <v>0</v>
      </c>
    </row>
    <row r="22" spans="1:19" ht="15" customHeight="1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N22" s="59" t="s">
        <v>59</v>
      </c>
      <c r="O22" s="69">
        <f>P8-O12-O13-O14-O15-O16-O17-O18-O19-O20-O21</f>
        <v>48.904231027671294</v>
      </c>
      <c r="P22" s="69">
        <f>Q8-P12-P13-P14-P15-P16-P17-P18-P19-P20-P21</f>
        <v>669.6712116387979</v>
      </c>
      <c r="Q22" s="59" t="s">
        <v>59</v>
      </c>
      <c r="R22" s="69">
        <f>P8-R12-R13-R14-R15-R16-R17-R18-R19-R20-R21</f>
        <v>-10.095768972328706</v>
      </c>
      <c r="S22" s="69">
        <f>Q8-S12-S13-S14-S15-S16-S17-S18-S19-S20-S21</f>
        <v>-138.24664447334391</v>
      </c>
    </row>
    <row r="23" spans="1:19" ht="15" customHeight="1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N23" s="59" t="s">
        <v>60</v>
      </c>
      <c r="O23" s="62">
        <f>O12+O13+O14+O15+O16+O17+O18+O19+O20+O21</f>
        <v>0</v>
      </c>
      <c r="P23" s="62">
        <f>P12+P13+P14+P15+P16+P17+P18+P19+P20+P21</f>
        <v>0</v>
      </c>
      <c r="Q23" s="59" t="s">
        <v>60</v>
      </c>
      <c r="R23" s="62">
        <f>R12+R13+R14+R15+R16+R17+R18+R19+R20+R21</f>
        <v>59</v>
      </c>
      <c r="S23" s="62">
        <f>S12+S13+S14+S15+S16+S17+S18+S19+S20+S21</f>
        <v>807.91785611214186</v>
      </c>
    </row>
    <row r="24" spans="1:19" ht="15" customHeight="1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</row>
    <row r="25" spans="1:19" ht="15" customHeight="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</row>
    <row r="26" spans="1:19" ht="15" customHeight="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</row>
    <row r="27" spans="1:19" ht="15" customHeight="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</row>
    <row r="55" spans="14:19" ht="15" customHeight="1">
      <c r="N55" s="67"/>
      <c r="O55" s="67"/>
      <c r="P55" s="67"/>
      <c r="Q55" s="67"/>
      <c r="R55" s="67"/>
      <c r="S55" s="67"/>
    </row>
    <row r="56" spans="14:19" ht="15" customHeight="1">
      <c r="N56" s="72"/>
      <c r="O56" s="72"/>
      <c r="P56" s="72"/>
      <c r="Q56" s="72"/>
      <c r="R56" s="72"/>
      <c r="S56" s="72"/>
    </row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orientation="landscape"/>
</worksheet>
</file>

<file path=xl/worksheets/sheet68.xml><?xml version="1.0" encoding="utf-8"?>
<worksheet xmlns="http://schemas.openxmlformats.org/spreadsheetml/2006/main" xmlns:r="http://schemas.openxmlformats.org/officeDocument/2006/relationships">
  <sheetPr codeName="Лист41">
    <outlinePr summaryBelow="0" summaryRight="0"/>
  </sheetPr>
  <dimension ref="A1:S1000"/>
  <sheetViews>
    <sheetView workbookViewId="0">
      <selection activeCell="K11" sqref="K11"/>
    </sheetView>
  </sheetViews>
  <sheetFormatPr defaultColWidth="14.42578125" defaultRowHeight="15" customHeight="1"/>
  <cols>
    <col min="1" max="1" width="10.140625" style="49" customWidth="1"/>
    <col min="2" max="8" width="8.7109375" style="49" customWidth="1"/>
    <col min="9" max="9" width="14" style="49" customWidth="1"/>
    <col min="10" max="10" width="15.5703125" style="49" customWidth="1"/>
    <col min="11" max="11" width="12.85546875" style="49" customWidth="1"/>
    <col min="12" max="13" width="8.7109375" style="49" customWidth="1"/>
    <col min="14" max="14" width="12" style="49" customWidth="1"/>
    <col min="15" max="15" width="11.5703125" style="49" customWidth="1"/>
    <col min="16" max="16" width="13.5703125" style="49" customWidth="1"/>
    <col min="17" max="17" width="12" style="49" customWidth="1"/>
    <col min="18" max="18" width="10.42578125" style="49" customWidth="1"/>
    <col min="19" max="19" width="12.7109375" style="49" customWidth="1"/>
    <col min="20" max="16384" width="14.42578125" style="49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187</v>
      </c>
    </row>
    <row r="3" spans="1:19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9">
      <c r="A4" s="73" t="s">
        <v>66</v>
      </c>
      <c r="B4" s="73" t="s">
        <v>97</v>
      </c>
      <c r="C4" s="510">
        <f>AVERAGEA(I7:I51)</f>
        <v>0.36576722857978428</v>
      </c>
      <c r="D4" s="511"/>
      <c r="E4" s="510">
        <f>AVERAGEA(J7:J51)</f>
        <v>13.296426663614165</v>
      </c>
      <c r="F4" s="511"/>
      <c r="G4" s="510">
        <f>AVERAGEA(K7:K51)</f>
        <v>1.3487423475023561</v>
      </c>
      <c r="H4" s="511"/>
      <c r="I4" s="74">
        <f>C4*K2</f>
        <v>68.398471744419666</v>
      </c>
      <c r="J4" s="74">
        <f>I4*E4</f>
        <v>909.45526345296173</v>
      </c>
      <c r="K4" s="74">
        <f>K2*G4</f>
        <v>252.21481898294059</v>
      </c>
    </row>
    <row r="5" spans="1:19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20"/>
      <c r="B6" s="520"/>
      <c r="C6" s="520"/>
      <c r="D6" s="520"/>
      <c r="E6" s="520"/>
      <c r="F6" s="54" t="s">
        <v>20</v>
      </c>
      <c r="G6" s="55" t="s">
        <v>21</v>
      </c>
      <c r="H6" s="520"/>
      <c r="I6" s="520"/>
      <c r="J6" s="520"/>
      <c r="K6" s="520"/>
      <c r="N6" s="520"/>
      <c r="O6" s="520"/>
      <c r="P6" s="520"/>
      <c r="Q6" s="520"/>
      <c r="R6" s="520"/>
      <c r="S6" s="520"/>
    </row>
    <row r="7" spans="1:19" ht="15.75">
      <c r="A7" s="56">
        <v>46204</v>
      </c>
      <c r="B7" s="57">
        <v>449</v>
      </c>
      <c r="C7" s="57" t="s">
        <v>62</v>
      </c>
      <c r="D7" s="57">
        <v>137</v>
      </c>
      <c r="E7" s="57">
        <v>31</v>
      </c>
      <c r="F7" s="57">
        <v>63</v>
      </c>
      <c r="G7" s="57">
        <v>836</v>
      </c>
      <c r="H7" s="57">
        <v>242</v>
      </c>
      <c r="I7" s="58">
        <f t="shared" ref="I7:I10" si="0">F7/(D7+E7)</f>
        <v>0.375</v>
      </c>
      <c r="J7" s="58">
        <f t="shared" ref="J7:J10" si="1">G7/F7</f>
        <v>13.269841269841271</v>
      </c>
      <c r="K7" s="58">
        <f t="shared" ref="K7:K10" si="2">H7/(D7+E7)</f>
        <v>1.4404761904761905</v>
      </c>
      <c r="N7" s="59" t="s">
        <v>49</v>
      </c>
      <c r="O7" s="60">
        <f>K2</f>
        <v>187</v>
      </c>
      <c r="P7" s="61">
        <f>I4</f>
        <v>68.398471744419666</v>
      </c>
      <c r="Q7" s="61">
        <f>J4</f>
        <v>909.45526345296173</v>
      </c>
      <c r="R7" s="539">
        <f>Q7/P7</f>
        <v>13.296426663614165</v>
      </c>
      <c r="S7" s="539">
        <f>P7/O7</f>
        <v>0.36576722857978433</v>
      </c>
    </row>
    <row r="8" spans="1:19" ht="15.75">
      <c r="A8" s="56">
        <v>46207</v>
      </c>
      <c r="B8" s="57">
        <v>449</v>
      </c>
      <c r="C8" s="57" t="s">
        <v>62</v>
      </c>
      <c r="D8" s="57">
        <v>103</v>
      </c>
      <c r="E8" s="57">
        <v>26</v>
      </c>
      <c r="F8" s="57">
        <v>48</v>
      </c>
      <c r="G8" s="57">
        <v>597</v>
      </c>
      <c r="H8" s="57">
        <v>109</v>
      </c>
      <c r="I8" s="58">
        <f t="shared" si="0"/>
        <v>0.37209302325581395</v>
      </c>
      <c r="J8" s="58">
        <f t="shared" si="1"/>
        <v>12.4375</v>
      </c>
      <c r="K8" s="58">
        <f t="shared" si="2"/>
        <v>0.84496124031007747</v>
      </c>
      <c r="N8" s="59" t="s">
        <v>50</v>
      </c>
      <c r="O8" s="60">
        <f>O7</f>
        <v>187</v>
      </c>
      <c r="P8" s="62">
        <f>O8*S7</f>
        <v>68.398471744419666</v>
      </c>
      <c r="Q8" s="62">
        <f>P8*R7</f>
        <v>909.45526345296173</v>
      </c>
      <c r="R8" s="520"/>
      <c r="S8" s="520"/>
    </row>
    <row r="9" spans="1:19">
      <c r="A9" s="56">
        <v>46214</v>
      </c>
      <c r="B9" s="57" t="s">
        <v>160</v>
      </c>
      <c r="C9" s="57" t="s">
        <v>73</v>
      </c>
      <c r="D9" s="57">
        <v>150</v>
      </c>
      <c r="E9" s="57">
        <v>28</v>
      </c>
      <c r="F9" s="57">
        <v>52</v>
      </c>
      <c r="G9" s="57">
        <v>709</v>
      </c>
      <c r="H9" s="57">
        <v>214</v>
      </c>
      <c r="I9" s="58">
        <f t="shared" si="0"/>
        <v>0.29213483146067415</v>
      </c>
      <c r="J9" s="58">
        <f t="shared" si="1"/>
        <v>13.634615384615385</v>
      </c>
      <c r="K9" s="58">
        <f t="shared" si="2"/>
        <v>1.202247191011236</v>
      </c>
      <c r="N9" s="521" t="s">
        <v>51</v>
      </c>
      <c r="O9" s="516"/>
      <c r="P9" s="516"/>
      <c r="Q9" s="516"/>
      <c r="R9" s="516"/>
      <c r="S9" s="511"/>
    </row>
    <row r="10" spans="1:19">
      <c r="A10" s="56">
        <v>46218</v>
      </c>
      <c r="B10" s="57" t="s">
        <v>160</v>
      </c>
      <c r="C10" s="57" t="s">
        <v>73</v>
      </c>
      <c r="D10" s="57">
        <v>126</v>
      </c>
      <c r="E10" s="57">
        <v>25</v>
      </c>
      <c r="F10" s="57">
        <v>64</v>
      </c>
      <c r="G10" s="57">
        <v>886</v>
      </c>
      <c r="H10" s="57">
        <v>288</v>
      </c>
      <c r="I10" s="58">
        <f t="shared" si="0"/>
        <v>0.42384105960264901</v>
      </c>
      <c r="J10" s="58">
        <f t="shared" si="1"/>
        <v>13.84375</v>
      </c>
      <c r="K10" s="58">
        <f t="shared" si="2"/>
        <v>1.9072847682119205</v>
      </c>
      <c r="N10" s="521" t="s">
        <v>52</v>
      </c>
      <c r="O10" s="516"/>
      <c r="P10" s="511"/>
      <c r="Q10" s="521" t="s">
        <v>53</v>
      </c>
      <c r="R10" s="516"/>
      <c r="S10" s="511"/>
    </row>
    <row r="11" spans="1:19">
      <c r="A11" s="56"/>
      <c r="B11" s="57"/>
      <c r="C11" s="57"/>
      <c r="D11" s="57"/>
      <c r="E11" s="57"/>
      <c r="F11" s="57"/>
      <c r="G11" s="57"/>
      <c r="H11" s="57"/>
      <c r="I11" s="58"/>
      <c r="J11" s="58"/>
      <c r="K11" s="58"/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.75">
      <c r="A12" s="56"/>
      <c r="B12" s="57"/>
      <c r="C12" s="57"/>
      <c r="D12" s="57"/>
      <c r="E12" s="57"/>
      <c r="F12" s="57"/>
      <c r="G12" s="57"/>
      <c r="H12" s="57"/>
      <c r="I12" s="58"/>
      <c r="J12" s="58"/>
      <c r="K12" s="58"/>
      <c r="N12" s="63">
        <v>1</v>
      </c>
      <c r="O12" s="64">
        <v>0</v>
      </c>
      <c r="P12" s="65">
        <f>O12*R7</f>
        <v>0</v>
      </c>
      <c r="Q12" s="63">
        <v>3</v>
      </c>
      <c r="R12" s="64">
        <v>40</v>
      </c>
      <c r="S12" s="65">
        <f>R12*R7</f>
        <v>531.85706654456658</v>
      </c>
    </row>
    <row r="13" spans="1:19" ht="15.75">
      <c r="A13" s="56"/>
      <c r="B13" s="57"/>
      <c r="C13" s="57"/>
      <c r="D13" s="57"/>
      <c r="E13" s="57"/>
      <c r="F13" s="57"/>
      <c r="G13" s="57"/>
      <c r="H13" s="57"/>
      <c r="I13" s="58"/>
      <c r="J13" s="58"/>
      <c r="K13" s="58"/>
      <c r="N13" s="63">
        <v>2</v>
      </c>
      <c r="O13" s="64">
        <v>0</v>
      </c>
      <c r="P13" s="65">
        <f>O13*R7</f>
        <v>0</v>
      </c>
      <c r="Q13" s="63">
        <v>4</v>
      </c>
      <c r="R13" s="64">
        <v>32</v>
      </c>
      <c r="S13" s="65">
        <f>R7*R13</f>
        <v>425.48565323565327</v>
      </c>
    </row>
    <row r="14" spans="1:19" ht="15.75">
      <c r="A14" s="56"/>
      <c r="B14" s="57"/>
      <c r="C14" s="57"/>
      <c r="D14" s="57"/>
      <c r="E14" s="57"/>
      <c r="F14" s="57"/>
      <c r="G14" s="57"/>
      <c r="H14" s="57"/>
      <c r="I14" s="58"/>
      <c r="J14" s="58"/>
      <c r="K14" s="58"/>
      <c r="N14" s="63">
        <v>3</v>
      </c>
      <c r="O14" s="64">
        <v>0</v>
      </c>
      <c r="P14" s="65">
        <f>R7*O14</f>
        <v>0</v>
      </c>
      <c r="Q14" s="63">
        <v>5</v>
      </c>
      <c r="R14" s="64">
        <v>0</v>
      </c>
      <c r="S14" s="65">
        <f>R14*R7</f>
        <v>0</v>
      </c>
    </row>
    <row r="15" spans="1:19" ht="15.75">
      <c r="A15" s="56"/>
      <c r="B15" s="57"/>
      <c r="C15" s="57"/>
      <c r="D15" s="57"/>
      <c r="E15" s="57"/>
      <c r="F15" s="57"/>
      <c r="G15" s="57"/>
      <c r="H15" s="57"/>
      <c r="I15" s="58"/>
      <c r="J15" s="58"/>
      <c r="K15" s="58"/>
      <c r="N15" s="63">
        <v>4</v>
      </c>
      <c r="O15" s="64">
        <v>0</v>
      </c>
      <c r="P15" s="65">
        <f>R7*O15</f>
        <v>0</v>
      </c>
      <c r="Q15" s="63">
        <v>1</v>
      </c>
      <c r="R15" s="64">
        <v>0</v>
      </c>
      <c r="S15" s="65">
        <f>R7*R15</f>
        <v>0</v>
      </c>
    </row>
    <row r="16" spans="1:19" ht="15.75">
      <c r="A16" s="56"/>
      <c r="B16" s="57"/>
      <c r="C16" s="57"/>
      <c r="D16" s="57"/>
      <c r="E16" s="57"/>
      <c r="F16" s="57"/>
      <c r="G16" s="57"/>
      <c r="H16" s="57"/>
      <c r="I16" s="58"/>
      <c r="J16" s="58"/>
      <c r="K16" s="58"/>
      <c r="N16" s="63">
        <v>5</v>
      </c>
      <c r="O16" s="64">
        <v>0</v>
      </c>
      <c r="P16" s="65">
        <f>R7*O16</f>
        <v>0</v>
      </c>
      <c r="Q16" s="63"/>
      <c r="R16" s="64">
        <v>0</v>
      </c>
      <c r="S16" s="65">
        <f>R7*R16</f>
        <v>0</v>
      </c>
    </row>
    <row r="17" spans="1:19" ht="15.75">
      <c r="A17" s="56"/>
      <c r="B17" s="57"/>
      <c r="C17" s="57"/>
      <c r="D17" s="57"/>
      <c r="E17" s="57"/>
      <c r="F17" s="57"/>
      <c r="G17" s="57"/>
      <c r="H17" s="57"/>
      <c r="I17" s="58"/>
      <c r="J17" s="58"/>
      <c r="K17" s="58"/>
      <c r="N17" s="63">
        <v>6</v>
      </c>
      <c r="O17" s="64">
        <v>0</v>
      </c>
      <c r="P17" s="65">
        <f>R7*O17</f>
        <v>0</v>
      </c>
      <c r="Q17" s="63"/>
      <c r="R17" s="64">
        <v>0</v>
      </c>
      <c r="S17" s="65">
        <f>R7*R17</f>
        <v>0</v>
      </c>
    </row>
    <row r="18" spans="1:19" ht="15.75">
      <c r="A18" s="56"/>
      <c r="B18" s="57"/>
      <c r="C18" s="57"/>
      <c r="D18" s="57"/>
      <c r="E18" s="57"/>
      <c r="F18" s="57"/>
      <c r="G18" s="57"/>
      <c r="H18" s="57"/>
      <c r="I18" s="58"/>
      <c r="J18" s="58"/>
      <c r="K18" s="58"/>
      <c r="N18" s="63">
        <v>7</v>
      </c>
      <c r="O18" s="64">
        <v>0</v>
      </c>
      <c r="P18" s="65">
        <f>R7*O18</f>
        <v>0</v>
      </c>
      <c r="Q18" s="63"/>
      <c r="R18" s="64">
        <v>0</v>
      </c>
      <c r="S18" s="65">
        <f>R7*R18</f>
        <v>0</v>
      </c>
    </row>
    <row r="19" spans="1:19" ht="15.75">
      <c r="A19" s="56"/>
      <c r="B19" s="57"/>
      <c r="C19" s="57"/>
      <c r="D19" s="57"/>
      <c r="E19" s="57"/>
      <c r="F19" s="57"/>
      <c r="G19" s="57"/>
      <c r="H19" s="57"/>
      <c r="I19" s="58"/>
      <c r="J19" s="58"/>
      <c r="K19" s="58"/>
      <c r="N19" s="63">
        <v>8</v>
      </c>
      <c r="O19" s="64">
        <v>0</v>
      </c>
      <c r="P19" s="65">
        <f>R7*O19</f>
        <v>0</v>
      </c>
      <c r="Q19" s="63"/>
      <c r="R19" s="64">
        <v>0</v>
      </c>
      <c r="S19" s="65">
        <f>R7*R19</f>
        <v>0</v>
      </c>
    </row>
    <row r="20" spans="1:19" ht="15.75">
      <c r="A20" s="56"/>
      <c r="B20" s="57"/>
      <c r="C20" s="57"/>
      <c r="D20" s="57"/>
      <c r="E20" s="57"/>
      <c r="F20" s="57"/>
      <c r="G20" s="57"/>
      <c r="H20" s="57"/>
      <c r="I20" s="58"/>
      <c r="J20" s="58"/>
      <c r="K20" s="58"/>
      <c r="N20" s="63">
        <v>9</v>
      </c>
      <c r="O20" s="64">
        <v>0</v>
      </c>
      <c r="P20" s="65">
        <f>R7*O20</f>
        <v>0</v>
      </c>
      <c r="Q20" s="63"/>
      <c r="R20" s="64">
        <v>0</v>
      </c>
      <c r="S20" s="65">
        <f>R7*R20</f>
        <v>0</v>
      </c>
    </row>
    <row r="21" spans="1:19" ht="15.75" customHeight="1">
      <c r="A21" s="56"/>
      <c r="B21" s="57"/>
      <c r="C21" s="57"/>
      <c r="D21" s="57"/>
      <c r="E21" s="57"/>
      <c r="F21" s="57"/>
      <c r="G21" s="57"/>
      <c r="H21" s="57"/>
      <c r="I21" s="58"/>
      <c r="J21" s="58"/>
      <c r="K21" s="58"/>
      <c r="N21" s="68" t="s">
        <v>53</v>
      </c>
      <c r="O21" s="64">
        <v>0</v>
      </c>
      <c r="P21" s="65">
        <f>R7*O21</f>
        <v>0</v>
      </c>
      <c r="Q21" s="63"/>
      <c r="R21" s="64"/>
      <c r="S21" s="65">
        <f>R7*R21</f>
        <v>0</v>
      </c>
    </row>
    <row r="22" spans="1:19" ht="15" customHeight="1">
      <c r="A22" s="56"/>
      <c r="B22" s="57"/>
      <c r="C22" s="57"/>
      <c r="D22" s="57"/>
      <c r="E22" s="57"/>
      <c r="F22" s="57"/>
      <c r="G22" s="57"/>
      <c r="H22" s="57"/>
      <c r="I22" s="58"/>
      <c r="J22" s="58"/>
      <c r="K22" s="58"/>
      <c r="N22" s="59" t="s">
        <v>59</v>
      </c>
      <c r="O22" s="69">
        <f>P8-O12-O13-O14-O15-O16-O17-O18-O19-O20-O21</f>
        <v>68.398471744419666</v>
      </c>
      <c r="P22" s="69">
        <f>Q8-P12-P13-P14-P15-P16-P17-P18-P19-P20-P21</f>
        <v>909.45526345296173</v>
      </c>
      <c r="Q22" s="59" t="s">
        <v>59</v>
      </c>
      <c r="R22" s="69">
        <f>P8-R12-R13-R14-R15-R16-R17-R18-R19-R20-R21</f>
        <v>-3.6015282555803338</v>
      </c>
      <c r="S22" s="69">
        <f>Q8-S12-S13-S14-S15-S16-S17-S18-S19-S20-S21</f>
        <v>-47.887456327258121</v>
      </c>
    </row>
    <row r="23" spans="1:19" ht="15" customHeight="1">
      <c r="A23" s="56"/>
      <c r="B23" s="57"/>
      <c r="C23" s="57"/>
      <c r="D23" s="57"/>
      <c r="E23" s="57"/>
      <c r="F23" s="57"/>
      <c r="G23" s="57"/>
      <c r="H23" s="57"/>
      <c r="I23" s="58"/>
      <c r="J23" s="58"/>
      <c r="K23" s="58"/>
      <c r="N23" s="59" t="s">
        <v>60</v>
      </c>
      <c r="O23" s="62">
        <f>O12+O13+O14+O15+O16+O17+O18+O19+O20+O21</f>
        <v>0</v>
      </c>
      <c r="P23" s="62">
        <f>P12+P13+P14+P15+P16+P17+P18+P19+P20+P21</f>
        <v>0</v>
      </c>
      <c r="Q23" s="59" t="s">
        <v>60</v>
      </c>
      <c r="R23" s="62">
        <f>R12+R13+R14+R15+R16+R17+R18+R19+R20+R21</f>
        <v>72</v>
      </c>
      <c r="S23" s="62">
        <f>S12+S13+S14+S15+S16+S17+S18+S19+S20+S21</f>
        <v>957.3427197802198</v>
      </c>
    </row>
    <row r="24" spans="1:19" ht="15" customHeight="1">
      <c r="A24" s="66"/>
      <c r="B24" s="67"/>
      <c r="C24" s="67"/>
      <c r="D24" s="67"/>
      <c r="E24" s="67"/>
      <c r="F24" s="67"/>
      <c r="G24" s="67"/>
      <c r="H24" s="67"/>
      <c r="I24" s="58"/>
      <c r="J24" s="58"/>
      <c r="K24" s="58"/>
    </row>
    <row r="25" spans="1:19" ht="15" customHeight="1">
      <c r="A25" s="66"/>
      <c r="B25" s="67"/>
      <c r="C25" s="67"/>
      <c r="D25" s="67"/>
      <c r="E25" s="67"/>
      <c r="F25" s="67"/>
      <c r="G25" s="67"/>
      <c r="H25" s="67"/>
      <c r="I25" s="58"/>
      <c r="J25" s="58"/>
      <c r="K25" s="58"/>
    </row>
    <row r="26" spans="1:19" ht="15" customHeight="1">
      <c r="A26" s="66"/>
      <c r="B26" s="67"/>
      <c r="C26" s="67"/>
      <c r="D26" s="67"/>
      <c r="E26" s="67"/>
      <c r="F26" s="67"/>
      <c r="G26" s="67"/>
      <c r="H26" s="67"/>
      <c r="I26" s="58"/>
      <c r="J26" s="58"/>
      <c r="K26" s="58"/>
    </row>
    <row r="27" spans="1:19" ht="15" customHeight="1">
      <c r="A27" s="66"/>
      <c r="B27" s="67"/>
      <c r="C27" s="67"/>
      <c r="D27" s="67"/>
      <c r="E27" s="67"/>
      <c r="F27" s="67"/>
      <c r="G27" s="67"/>
      <c r="H27" s="67"/>
      <c r="I27" s="58"/>
      <c r="J27" s="58"/>
      <c r="K27" s="58"/>
    </row>
    <row r="28" spans="1:19" ht="15" customHeight="1">
      <c r="A28" s="66"/>
      <c r="B28" s="67"/>
      <c r="C28" s="67"/>
      <c r="D28" s="67"/>
      <c r="E28" s="67"/>
      <c r="F28" s="67"/>
      <c r="G28" s="67"/>
      <c r="H28" s="67"/>
      <c r="I28" s="58"/>
      <c r="J28" s="70"/>
      <c r="K28" s="58"/>
    </row>
    <row r="29" spans="1:19" ht="15" customHeight="1">
      <c r="A29" s="66"/>
      <c r="B29" s="67"/>
      <c r="C29" s="67"/>
      <c r="D29" s="67"/>
      <c r="E29" s="67"/>
      <c r="F29" s="67"/>
      <c r="G29" s="67"/>
      <c r="H29" s="67"/>
      <c r="I29" s="58"/>
      <c r="J29" s="70"/>
      <c r="K29" s="70"/>
    </row>
    <row r="30" spans="1:19" ht="15" customHeight="1">
      <c r="A30" s="66"/>
      <c r="B30" s="67"/>
      <c r="C30" s="67"/>
      <c r="D30" s="67"/>
      <c r="E30" s="67"/>
      <c r="F30" s="67"/>
      <c r="G30" s="67"/>
      <c r="H30" s="67"/>
      <c r="I30" s="58"/>
      <c r="J30" s="70"/>
      <c r="K30" s="70"/>
    </row>
    <row r="31" spans="1:19" ht="15" customHeight="1">
      <c r="A31" s="66"/>
      <c r="B31" s="67"/>
      <c r="C31" s="67"/>
      <c r="D31" s="67"/>
      <c r="E31" s="67"/>
      <c r="F31" s="67"/>
      <c r="G31" s="67"/>
      <c r="H31" s="67"/>
      <c r="I31" s="58"/>
      <c r="J31" s="70"/>
      <c r="K31" s="70"/>
    </row>
    <row r="32" spans="1:19" ht="15" customHeight="1">
      <c r="A32" s="66"/>
      <c r="B32" s="67"/>
      <c r="C32" s="67"/>
      <c r="D32" s="67"/>
      <c r="E32" s="67"/>
      <c r="F32" s="67"/>
      <c r="G32" s="67"/>
      <c r="H32" s="67"/>
      <c r="I32" s="58"/>
      <c r="J32" s="70"/>
      <c r="K32" s="70"/>
    </row>
    <row r="33" spans="1:11" ht="15" customHeight="1">
      <c r="A33" s="66"/>
      <c r="B33" s="67"/>
      <c r="C33" s="67"/>
      <c r="D33" s="67"/>
      <c r="E33" s="67"/>
      <c r="F33" s="67"/>
      <c r="G33" s="67"/>
      <c r="H33" s="67"/>
      <c r="I33" s="58"/>
      <c r="J33" s="70"/>
      <c r="K33" s="70"/>
    </row>
    <row r="34" spans="1:11" ht="15" customHeight="1">
      <c r="A34" s="66"/>
      <c r="B34" s="67"/>
      <c r="C34" s="67"/>
      <c r="D34" s="67"/>
      <c r="E34" s="67"/>
      <c r="F34" s="67"/>
      <c r="G34" s="67"/>
      <c r="H34" s="67"/>
      <c r="I34" s="58"/>
      <c r="J34" s="70"/>
      <c r="K34" s="70"/>
    </row>
    <row r="35" spans="1:11" ht="15" customHeight="1">
      <c r="A35" s="66"/>
      <c r="B35" s="67"/>
      <c r="C35" s="67"/>
      <c r="D35" s="67"/>
      <c r="E35" s="67"/>
      <c r="F35" s="67"/>
      <c r="G35" s="67"/>
      <c r="H35" s="67"/>
      <c r="I35" s="58"/>
      <c r="J35" s="70"/>
      <c r="K35" s="70"/>
    </row>
    <row r="36" spans="1:11" ht="15" customHeight="1">
      <c r="A36" s="66"/>
      <c r="B36" s="67"/>
      <c r="C36" s="67"/>
      <c r="D36" s="67"/>
      <c r="E36" s="67"/>
      <c r="F36" s="67"/>
      <c r="G36" s="67"/>
      <c r="H36" s="67"/>
      <c r="I36" s="58"/>
      <c r="J36" s="70"/>
      <c r="K36" s="70"/>
    </row>
    <row r="37" spans="1:11" ht="15" customHeight="1">
      <c r="A37" s="66"/>
      <c r="B37" s="67"/>
      <c r="C37" s="67"/>
      <c r="D37" s="67"/>
      <c r="E37" s="67"/>
      <c r="F37" s="67"/>
      <c r="G37" s="67"/>
      <c r="H37" s="67"/>
      <c r="I37" s="58"/>
      <c r="J37" s="70"/>
      <c r="K37" s="70"/>
    </row>
    <row r="38" spans="1:11" ht="15" customHeight="1">
      <c r="A38" s="66"/>
      <c r="B38" s="67"/>
      <c r="C38" s="67"/>
      <c r="D38" s="67"/>
      <c r="E38" s="67"/>
      <c r="F38" s="67"/>
      <c r="G38" s="67"/>
      <c r="H38" s="67"/>
      <c r="I38" s="58"/>
      <c r="J38" s="70"/>
      <c r="K38" s="70"/>
    </row>
    <row r="39" spans="1:11" ht="15" customHeight="1">
      <c r="A39" s="66"/>
      <c r="B39" s="67"/>
      <c r="C39" s="67"/>
      <c r="D39" s="67"/>
      <c r="E39" s="67"/>
      <c r="F39" s="67"/>
      <c r="G39" s="67"/>
      <c r="H39" s="67"/>
      <c r="I39" s="58"/>
      <c r="J39" s="70"/>
      <c r="K39" s="70"/>
    </row>
    <row r="40" spans="1:11" ht="15" customHeight="1">
      <c r="A40" s="66"/>
      <c r="B40" s="67"/>
      <c r="C40" s="67"/>
      <c r="D40" s="67"/>
      <c r="E40" s="67"/>
      <c r="F40" s="67"/>
      <c r="G40" s="67"/>
      <c r="H40" s="67"/>
      <c r="I40" s="70"/>
      <c r="J40" s="70"/>
      <c r="K40" s="70"/>
    </row>
    <row r="41" spans="1:11" ht="15" customHeight="1">
      <c r="A41" s="66"/>
      <c r="B41" s="67"/>
      <c r="C41" s="67"/>
      <c r="D41" s="67"/>
      <c r="E41" s="67"/>
      <c r="F41" s="67"/>
      <c r="G41" s="67"/>
      <c r="H41" s="67"/>
      <c r="I41" s="70"/>
      <c r="J41" s="70"/>
      <c r="K41" s="70"/>
    </row>
    <row r="42" spans="1:11" ht="15" customHeight="1">
      <c r="A42" s="66"/>
      <c r="B42" s="67"/>
      <c r="C42" s="67"/>
      <c r="D42" s="67"/>
      <c r="E42" s="67"/>
      <c r="F42" s="67"/>
      <c r="G42" s="67"/>
      <c r="H42" s="67"/>
      <c r="I42" s="70"/>
      <c r="J42" s="70"/>
      <c r="K42" s="70"/>
    </row>
    <row r="43" spans="1:11" ht="15" customHeight="1">
      <c r="A43" s="66"/>
      <c r="B43" s="67"/>
      <c r="C43" s="67"/>
      <c r="D43" s="67"/>
      <c r="E43" s="67"/>
      <c r="F43" s="67"/>
      <c r="G43" s="67"/>
      <c r="H43" s="67"/>
      <c r="I43" s="70"/>
      <c r="J43" s="70"/>
      <c r="K43" s="70"/>
    </row>
    <row r="44" spans="1:11" ht="15" customHeight="1">
      <c r="A44" s="66"/>
      <c r="B44" s="67"/>
      <c r="C44" s="67"/>
      <c r="D44" s="67"/>
      <c r="E44" s="67"/>
      <c r="F44" s="67"/>
      <c r="G44" s="67"/>
      <c r="H44" s="67"/>
      <c r="I44" s="70"/>
      <c r="J44" s="70"/>
      <c r="K44" s="70"/>
    </row>
    <row r="45" spans="1:11" ht="15" customHeight="1">
      <c r="A45" s="66"/>
      <c r="B45" s="67"/>
      <c r="C45" s="67"/>
      <c r="D45" s="67"/>
      <c r="E45" s="67"/>
      <c r="F45" s="67"/>
      <c r="G45" s="67"/>
      <c r="H45" s="67"/>
      <c r="I45" s="70"/>
      <c r="J45" s="70"/>
      <c r="K45" s="70"/>
    </row>
    <row r="46" spans="1:11" ht="15" customHeight="1">
      <c r="A46" s="66"/>
      <c r="B46" s="67"/>
      <c r="C46" s="67"/>
      <c r="D46" s="67"/>
      <c r="E46" s="67"/>
      <c r="F46" s="67"/>
      <c r="G46" s="67"/>
      <c r="H46" s="67"/>
      <c r="I46" s="70"/>
      <c r="J46" s="70"/>
      <c r="K46" s="70"/>
    </row>
    <row r="47" spans="1:11" ht="15" customHeight="1">
      <c r="A47" s="66"/>
      <c r="B47" s="67"/>
      <c r="C47" s="67"/>
      <c r="D47" s="67"/>
      <c r="E47" s="67"/>
      <c r="F47" s="67"/>
      <c r="G47" s="67"/>
      <c r="H47" s="67"/>
      <c r="I47" s="70"/>
      <c r="J47" s="70"/>
      <c r="K47" s="70"/>
    </row>
    <row r="48" spans="1:11" ht="15" customHeight="1">
      <c r="A48" s="66"/>
      <c r="B48" s="67"/>
      <c r="C48" s="67"/>
      <c r="D48" s="67"/>
      <c r="E48" s="67"/>
      <c r="F48" s="67"/>
      <c r="G48" s="67"/>
      <c r="H48" s="67"/>
      <c r="I48" s="70"/>
      <c r="J48" s="70"/>
      <c r="K48" s="70"/>
    </row>
    <row r="49" spans="1:19" ht="15" customHeight="1">
      <c r="A49" s="66"/>
      <c r="B49" s="67"/>
      <c r="C49" s="67"/>
      <c r="D49" s="67"/>
      <c r="E49" s="67"/>
      <c r="F49" s="67"/>
      <c r="G49" s="67"/>
      <c r="H49" s="67"/>
      <c r="I49" s="70"/>
      <c r="J49" s="70"/>
      <c r="K49" s="70"/>
    </row>
    <row r="50" spans="1:19" ht="15" customHeight="1">
      <c r="A50" s="67"/>
      <c r="B50" s="67"/>
      <c r="C50" s="67"/>
      <c r="D50" s="67"/>
      <c r="E50" s="67"/>
      <c r="F50" s="67"/>
      <c r="G50" s="67"/>
      <c r="H50" s="67"/>
      <c r="I50" s="70"/>
      <c r="J50" s="70"/>
      <c r="K50" s="70"/>
    </row>
    <row r="51" spans="1:19" ht="15" customHeight="1">
      <c r="A51" s="67"/>
      <c r="B51" s="67"/>
      <c r="C51" s="67"/>
      <c r="D51" s="67"/>
      <c r="E51" s="67"/>
      <c r="F51" s="67"/>
      <c r="G51" s="67"/>
      <c r="H51" s="67"/>
      <c r="I51" s="58"/>
      <c r="J51" s="70"/>
      <c r="K51" s="70"/>
    </row>
    <row r="52" spans="1:19" ht="15" customHeight="1">
      <c r="I52" s="71"/>
    </row>
    <row r="55" spans="1:19" ht="15" customHeight="1">
      <c r="N55" s="67"/>
      <c r="O55" s="67"/>
      <c r="P55" s="67"/>
      <c r="Q55" s="67"/>
      <c r="R55" s="67"/>
      <c r="S55" s="67"/>
    </row>
    <row r="56" spans="1:19" ht="15" customHeight="1">
      <c r="N56" s="72"/>
      <c r="O56" s="72"/>
      <c r="P56" s="72"/>
      <c r="Q56" s="72"/>
      <c r="R56" s="72"/>
      <c r="S56" s="72"/>
    </row>
    <row r="58" spans="1:19" ht="15.75" customHeight="1"/>
    <row r="59" spans="1:19" ht="15.75" customHeight="1"/>
    <row r="60" spans="1:19" ht="15.75" customHeight="1"/>
    <row r="61" spans="1:19" ht="15.75" customHeight="1"/>
    <row r="62" spans="1:19" ht="15.75" customHeight="1"/>
    <row r="63" spans="1:19" ht="15.75" customHeight="1"/>
    <row r="64" spans="1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orientation="landscape"/>
</worksheet>
</file>

<file path=xl/worksheets/sheet69.xml><?xml version="1.0" encoding="utf-8"?>
<worksheet xmlns="http://schemas.openxmlformats.org/spreadsheetml/2006/main" xmlns:r="http://schemas.openxmlformats.org/officeDocument/2006/relationships">
  <sheetPr codeName="Лист42"/>
  <dimension ref="A1:S1000"/>
  <sheetViews>
    <sheetView workbookViewId="0">
      <selection activeCell="I27" sqref="I27"/>
    </sheetView>
  </sheetViews>
  <sheetFormatPr defaultColWidth="14.42578125" defaultRowHeight="15" customHeight="1"/>
  <cols>
    <col min="1" max="2" width="11.85546875" style="49" customWidth="1"/>
    <col min="3" max="8" width="8.7109375" style="49" customWidth="1"/>
    <col min="9" max="9" width="14" style="49" customWidth="1"/>
    <col min="10" max="10" width="15.5703125" style="49" customWidth="1"/>
    <col min="11" max="11" width="12.85546875" style="49" customWidth="1"/>
    <col min="12" max="13" width="8.7109375" style="49" customWidth="1"/>
    <col min="14" max="14" width="12" style="49" customWidth="1"/>
    <col min="15" max="15" width="11.5703125" style="49" customWidth="1"/>
    <col min="16" max="16" width="13.5703125" style="49" customWidth="1"/>
    <col min="17" max="17" width="12" style="49" customWidth="1"/>
    <col min="18" max="18" width="10.42578125" style="49" customWidth="1"/>
    <col min="19" max="19" width="12.7109375" style="49" customWidth="1"/>
    <col min="20" max="16384" width="14.42578125" style="49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181</v>
      </c>
    </row>
    <row r="3" spans="1:19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9">
      <c r="A4" s="73" t="s">
        <v>66</v>
      </c>
      <c r="B4" s="73" t="s">
        <v>38</v>
      </c>
      <c r="C4" s="510">
        <f>AVERAGEA(I7:I70)</f>
        <v>0.47990600621212592</v>
      </c>
      <c r="D4" s="511"/>
      <c r="E4" s="510">
        <f>AVERAGEA(J7:J70)</f>
        <v>14.307287390629401</v>
      </c>
      <c r="F4" s="511"/>
      <c r="G4" s="510">
        <f>AVERAGEA(K7:K70)</f>
        <v>1.383001760681853</v>
      </c>
      <c r="H4" s="511"/>
      <c r="I4" s="74">
        <f>C4*K2</f>
        <v>86.862987124394792</v>
      </c>
      <c r="J4" s="74">
        <f>I4*E4</f>
        <v>1242.7737203972576</v>
      </c>
      <c r="K4" s="74">
        <f>G4*K2</f>
        <v>250.32331868341538</v>
      </c>
    </row>
    <row r="5" spans="1:19" ht="15" customHeight="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  <c r="N6" s="520"/>
      <c r="O6" s="520"/>
      <c r="P6" s="520"/>
      <c r="Q6" s="520"/>
      <c r="R6" s="520"/>
      <c r="S6" s="520"/>
    </row>
    <row r="7" spans="1:19" ht="15.75">
      <c r="A7" s="85">
        <v>46204</v>
      </c>
      <c r="B7" s="86">
        <v>411</v>
      </c>
      <c r="C7" s="86" t="s">
        <v>61</v>
      </c>
      <c r="D7" s="86">
        <v>168</v>
      </c>
      <c r="E7" s="86">
        <v>36</v>
      </c>
      <c r="F7" s="86">
        <v>94</v>
      </c>
      <c r="G7" s="86">
        <v>1446</v>
      </c>
      <c r="H7" s="86">
        <v>209</v>
      </c>
      <c r="I7" s="79">
        <f t="shared" ref="I7:I27" si="0">F7/(D7+E7)</f>
        <v>0.46078431372549017</v>
      </c>
      <c r="J7" s="79">
        <f t="shared" ref="J7:J27" si="1">G7/F7</f>
        <v>15.382978723404255</v>
      </c>
      <c r="K7" s="79">
        <f t="shared" ref="K7:K27" si="2">H7/(D7+E7)</f>
        <v>1.0245098039215685</v>
      </c>
      <c r="N7" s="59" t="s">
        <v>49</v>
      </c>
      <c r="O7" s="60">
        <f>K2</f>
        <v>181</v>
      </c>
      <c r="P7" s="61">
        <f>I4</f>
        <v>86.862987124394792</v>
      </c>
      <c r="Q7" s="61">
        <f>J4</f>
        <v>1242.7737203972576</v>
      </c>
      <c r="R7" s="539">
        <f>Q7/P7</f>
        <v>14.307287390629401</v>
      </c>
      <c r="S7" s="539">
        <f>P7/O7</f>
        <v>0.47990600621212592</v>
      </c>
    </row>
    <row r="8" spans="1:19" ht="15.75">
      <c r="A8" s="315">
        <v>46205</v>
      </c>
      <c r="B8" s="299">
        <v>413</v>
      </c>
      <c r="C8" s="419" t="s">
        <v>62</v>
      </c>
      <c r="D8" s="81">
        <v>127</v>
      </c>
      <c r="E8" s="81">
        <v>36</v>
      </c>
      <c r="F8" s="81">
        <v>70</v>
      </c>
      <c r="G8" s="81">
        <v>963</v>
      </c>
      <c r="H8" s="81">
        <v>35</v>
      </c>
      <c r="I8" s="79">
        <f t="shared" si="0"/>
        <v>0.42944785276073622</v>
      </c>
      <c r="J8" s="79">
        <f t="shared" si="1"/>
        <v>13.757142857142858</v>
      </c>
      <c r="K8" s="79">
        <f t="shared" si="2"/>
        <v>0.21472392638036811</v>
      </c>
      <c r="N8" s="59" t="s">
        <v>50</v>
      </c>
      <c r="O8" s="60">
        <f>O7</f>
        <v>181</v>
      </c>
      <c r="P8" s="62">
        <f>O8*S7</f>
        <v>86.862987124394792</v>
      </c>
      <c r="Q8" s="62">
        <f>P8*R7</f>
        <v>1242.7737203972576</v>
      </c>
      <c r="R8" s="520"/>
      <c r="S8" s="520"/>
    </row>
    <row r="9" spans="1:19">
      <c r="A9" s="122">
        <v>46206</v>
      </c>
      <c r="B9" s="81">
        <v>411</v>
      </c>
      <c r="C9" s="419" t="s">
        <v>62</v>
      </c>
      <c r="D9" s="81">
        <v>143</v>
      </c>
      <c r="E9" s="81">
        <v>30</v>
      </c>
      <c r="F9" s="81">
        <v>58</v>
      </c>
      <c r="G9" s="81">
        <v>841</v>
      </c>
      <c r="H9" s="81">
        <v>300</v>
      </c>
      <c r="I9" s="79">
        <f t="shared" si="0"/>
        <v>0.33526011560693642</v>
      </c>
      <c r="J9" s="79">
        <f t="shared" si="1"/>
        <v>14.5</v>
      </c>
      <c r="K9" s="79">
        <f t="shared" si="2"/>
        <v>1.7341040462427746</v>
      </c>
      <c r="N9" s="521" t="s">
        <v>51</v>
      </c>
      <c r="O9" s="516"/>
      <c r="P9" s="516"/>
      <c r="Q9" s="516"/>
      <c r="R9" s="516"/>
      <c r="S9" s="511"/>
    </row>
    <row r="10" spans="1:19">
      <c r="A10" s="80">
        <v>46206</v>
      </c>
      <c r="B10" s="324">
        <v>409</v>
      </c>
      <c r="C10" s="420" t="s">
        <v>61</v>
      </c>
      <c r="D10" s="81">
        <v>179</v>
      </c>
      <c r="E10" s="81">
        <v>29</v>
      </c>
      <c r="F10" s="81">
        <v>114</v>
      </c>
      <c r="G10" s="81">
        <v>1622</v>
      </c>
      <c r="H10" s="81">
        <v>308</v>
      </c>
      <c r="I10" s="79">
        <f t="shared" si="0"/>
        <v>0.54807692307692313</v>
      </c>
      <c r="J10" s="79">
        <f t="shared" si="1"/>
        <v>14.228070175438596</v>
      </c>
      <c r="K10" s="79">
        <f t="shared" si="2"/>
        <v>1.4807692307692308</v>
      </c>
      <c r="N10" s="521" t="s">
        <v>52</v>
      </c>
      <c r="O10" s="516"/>
      <c r="P10" s="511"/>
      <c r="Q10" s="521" t="s">
        <v>53</v>
      </c>
      <c r="R10" s="516"/>
      <c r="S10" s="511"/>
    </row>
    <row r="11" spans="1:19">
      <c r="A11" s="246">
        <v>46207</v>
      </c>
      <c r="B11" s="421" t="s">
        <v>153</v>
      </c>
      <c r="C11" s="422" t="s">
        <v>73</v>
      </c>
      <c r="D11" s="81">
        <v>175</v>
      </c>
      <c r="E11" s="81">
        <v>22</v>
      </c>
      <c r="F11" s="81">
        <v>124</v>
      </c>
      <c r="G11" s="81">
        <v>1784</v>
      </c>
      <c r="H11" s="81">
        <v>165</v>
      </c>
      <c r="I11" s="79">
        <f t="shared" si="0"/>
        <v>0.62944162436548223</v>
      </c>
      <c r="J11" s="79">
        <f t="shared" si="1"/>
        <v>14.387096774193548</v>
      </c>
      <c r="K11" s="79">
        <f t="shared" si="2"/>
        <v>0.8375634517766497</v>
      </c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.75">
      <c r="A12" s="134">
        <v>46208</v>
      </c>
      <c r="B12" s="341">
        <v>413</v>
      </c>
      <c r="C12" s="426" t="s">
        <v>62</v>
      </c>
      <c r="D12" s="81">
        <v>146</v>
      </c>
      <c r="E12" s="81">
        <v>20</v>
      </c>
      <c r="F12" s="81">
        <v>91</v>
      </c>
      <c r="G12" s="81">
        <v>1289</v>
      </c>
      <c r="H12" s="81">
        <v>99</v>
      </c>
      <c r="I12" s="79">
        <f t="shared" si="0"/>
        <v>0.54819277108433739</v>
      </c>
      <c r="J12" s="79">
        <f t="shared" si="1"/>
        <v>14.164835164835164</v>
      </c>
      <c r="K12" s="79">
        <f t="shared" si="2"/>
        <v>0.59638554216867468</v>
      </c>
      <c r="N12" s="63">
        <v>1</v>
      </c>
      <c r="O12" s="64">
        <v>25</v>
      </c>
      <c r="P12" s="65">
        <f>O12*R7</f>
        <v>357.68218476573503</v>
      </c>
      <c r="Q12" s="63">
        <v>3</v>
      </c>
      <c r="R12" s="64">
        <v>35</v>
      </c>
      <c r="S12" s="65">
        <f>R12*R7</f>
        <v>500.75505867202907</v>
      </c>
    </row>
    <row r="13" spans="1:19" ht="15.75">
      <c r="A13" s="80">
        <v>46208</v>
      </c>
      <c r="B13" s="81">
        <v>409</v>
      </c>
      <c r="C13" s="426" t="s">
        <v>62</v>
      </c>
      <c r="D13" s="81">
        <v>118</v>
      </c>
      <c r="E13" s="81">
        <v>28</v>
      </c>
      <c r="F13" s="81">
        <v>61</v>
      </c>
      <c r="G13" s="81">
        <v>817</v>
      </c>
      <c r="H13" s="81">
        <v>176</v>
      </c>
      <c r="I13" s="79">
        <f t="shared" si="0"/>
        <v>0.4178082191780822</v>
      </c>
      <c r="J13" s="79">
        <f t="shared" si="1"/>
        <v>13.39344262295082</v>
      </c>
      <c r="K13" s="79">
        <f t="shared" si="2"/>
        <v>1.2054794520547945</v>
      </c>
      <c r="N13" s="63">
        <v>2</v>
      </c>
      <c r="O13" s="64">
        <v>25</v>
      </c>
      <c r="P13" s="65">
        <f>O13*R7</f>
        <v>357.68218476573503</v>
      </c>
      <c r="Q13" s="63">
        <v>4</v>
      </c>
      <c r="R13" s="64">
        <v>35</v>
      </c>
      <c r="S13" s="65">
        <f>R7*R13</f>
        <v>500.75505867202907</v>
      </c>
    </row>
    <row r="14" spans="1:19" ht="15.75">
      <c r="A14" s="179">
        <v>46209</v>
      </c>
      <c r="B14" s="81">
        <v>411</v>
      </c>
      <c r="C14" s="426" t="s">
        <v>61</v>
      </c>
      <c r="D14" s="81">
        <v>158</v>
      </c>
      <c r="E14" s="81">
        <v>24</v>
      </c>
      <c r="F14" s="81">
        <v>89</v>
      </c>
      <c r="G14" s="81">
        <v>1260</v>
      </c>
      <c r="H14" s="81">
        <v>231</v>
      </c>
      <c r="I14" s="79">
        <f t="shared" si="0"/>
        <v>0.48901098901098899</v>
      </c>
      <c r="J14" s="79">
        <f t="shared" si="1"/>
        <v>14.157303370786517</v>
      </c>
      <c r="K14" s="79">
        <f t="shared" si="2"/>
        <v>1.2692307692307692</v>
      </c>
      <c r="N14" s="63">
        <v>3</v>
      </c>
      <c r="O14" s="64">
        <v>25</v>
      </c>
      <c r="P14" s="65">
        <f>R7*O14</f>
        <v>357.68218476573503</v>
      </c>
      <c r="Q14" s="63">
        <v>5</v>
      </c>
      <c r="R14" s="64">
        <v>9</v>
      </c>
      <c r="S14" s="65">
        <f>R14*R7</f>
        <v>128.76558651566461</v>
      </c>
    </row>
    <row r="15" spans="1:19" ht="15.75">
      <c r="A15" s="80">
        <v>46211</v>
      </c>
      <c r="B15" s="302">
        <v>411</v>
      </c>
      <c r="C15" s="430" t="s">
        <v>62</v>
      </c>
      <c r="D15" s="81">
        <v>161</v>
      </c>
      <c r="E15" s="81">
        <v>24</v>
      </c>
      <c r="F15" s="81">
        <v>105</v>
      </c>
      <c r="G15" s="81">
        <v>1538</v>
      </c>
      <c r="H15" s="81">
        <v>220</v>
      </c>
      <c r="I15" s="79">
        <f t="shared" si="0"/>
        <v>0.56756756756756754</v>
      </c>
      <c r="J15" s="79">
        <f t="shared" si="1"/>
        <v>14.647619047619047</v>
      </c>
      <c r="K15" s="79">
        <f t="shared" si="2"/>
        <v>1.1891891891891893</v>
      </c>
      <c r="N15" s="63">
        <v>4</v>
      </c>
      <c r="O15" s="64">
        <v>25</v>
      </c>
      <c r="P15" s="65">
        <f>R7*O15</f>
        <v>357.68218476573503</v>
      </c>
      <c r="Q15" s="63">
        <v>1</v>
      </c>
      <c r="R15" s="64">
        <v>0</v>
      </c>
      <c r="S15" s="65">
        <f>R7*R15</f>
        <v>0</v>
      </c>
    </row>
    <row r="16" spans="1:19" ht="15.75">
      <c r="A16" s="346">
        <v>46211</v>
      </c>
      <c r="B16" s="432" t="s">
        <v>157</v>
      </c>
      <c r="C16" s="432" t="s">
        <v>65</v>
      </c>
      <c r="D16" s="81">
        <v>69</v>
      </c>
      <c r="E16" s="81">
        <v>20</v>
      </c>
      <c r="F16" s="81">
        <v>30</v>
      </c>
      <c r="G16" s="81">
        <v>461</v>
      </c>
      <c r="H16" s="81">
        <v>235</v>
      </c>
      <c r="I16" s="79">
        <f t="shared" si="0"/>
        <v>0.33707865168539325</v>
      </c>
      <c r="J16" s="79">
        <f t="shared" si="1"/>
        <v>15.366666666666667</v>
      </c>
      <c r="K16" s="79">
        <f t="shared" si="2"/>
        <v>2.6404494382022472</v>
      </c>
      <c r="N16" s="63">
        <v>5</v>
      </c>
      <c r="O16" s="64">
        <v>25</v>
      </c>
      <c r="P16" s="65">
        <f>R7*O16</f>
        <v>357.68218476573503</v>
      </c>
      <c r="Q16" s="63"/>
      <c r="R16" s="64">
        <v>0</v>
      </c>
      <c r="S16" s="65">
        <f>R7*R16</f>
        <v>0</v>
      </c>
    </row>
    <row r="17" spans="1:19" ht="15.75">
      <c r="A17" s="80">
        <v>46212</v>
      </c>
      <c r="B17" s="81">
        <v>413</v>
      </c>
      <c r="C17" s="434" t="s">
        <v>62</v>
      </c>
      <c r="D17" s="81">
        <v>143</v>
      </c>
      <c r="E17" s="81">
        <v>43</v>
      </c>
      <c r="F17" s="81">
        <v>87</v>
      </c>
      <c r="G17" s="81">
        <v>1245</v>
      </c>
      <c r="H17" s="81">
        <v>110</v>
      </c>
      <c r="I17" s="79">
        <f t="shared" si="0"/>
        <v>0.46774193548387094</v>
      </c>
      <c r="J17" s="79">
        <f t="shared" si="1"/>
        <v>14.310344827586206</v>
      </c>
      <c r="K17" s="79">
        <f t="shared" si="2"/>
        <v>0.59139784946236562</v>
      </c>
      <c r="N17" s="63">
        <v>6</v>
      </c>
      <c r="O17" s="64">
        <v>0</v>
      </c>
      <c r="P17" s="65">
        <f>R7*O17</f>
        <v>0</v>
      </c>
      <c r="Q17" s="63"/>
      <c r="R17" s="64">
        <v>0</v>
      </c>
      <c r="S17" s="65">
        <f>R7*R17</f>
        <v>0</v>
      </c>
    </row>
    <row r="18" spans="1:19" ht="15.75">
      <c r="A18" s="80">
        <v>46213</v>
      </c>
      <c r="B18" s="352">
        <v>411</v>
      </c>
      <c r="C18" s="433" t="s">
        <v>62</v>
      </c>
      <c r="D18" s="81">
        <v>163</v>
      </c>
      <c r="E18" s="81">
        <v>19</v>
      </c>
      <c r="F18" s="81">
        <v>69</v>
      </c>
      <c r="G18" s="81">
        <v>969</v>
      </c>
      <c r="H18" s="81">
        <v>200</v>
      </c>
      <c r="I18" s="79">
        <f t="shared" si="0"/>
        <v>0.37912087912087911</v>
      </c>
      <c r="J18" s="79">
        <f t="shared" si="1"/>
        <v>14.043478260869565</v>
      </c>
      <c r="K18" s="79">
        <f t="shared" si="2"/>
        <v>1.098901098901099</v>
      </c>
      <c r="N18" s="63">
        <v>7</v>
      </c>
      <c r="O18" s="64">
        <v>0</v>
      </c>
      <c r="P18" s="65">
        <f>R7*O18</f>
        <v>0</v>
      </c>
      <c r="Q18" s="63"/>
      <c r="R18" s="64">
        <v>0</v>
      </c>
      <c r="S18" s="65">
        <f>R7*R18</f>
        <v>0</v>
      </c>
    </row>
    <row r="19" spans="1:19" ht="15.75">
      <c r="A19" s="378">
        <v>46213</v>
      </c>
      <c r="B19" s="81">
        <v>409</v>
      </c>
      <c r="C19" s="433" t="s">
        <v>62</v>
      </c>
      <c r="D19" s="81">
        <v>149</v>
      </c>
      <c r="E19" s="81">
        <v>26</v>
      </c>
      <c r="F19" s="81">
        <v>86</v>
      </c>
      <c r="G19" s="81">
        <v>1195</v>
      </c>
      <c r="H19" s="81">
        <v>361</v>
      </c>
      <c r="I19" s="79">
        <f t="shared" si="0"/>
        <v>0.49142857142857144</v>
      </c>
      <c r="J19" s="79">
        <f t="shared" si="1"/>
        <v>13.895348837209303</v>
      </c>
      <c r="K19" s="79">
        <f t="shared" si="2"/>
        <v>2.0628571428571427</v>
      </c>
      <c r="N19" s="63">
        <v>8</v>
      </c>
      <c r="O19" s="64">
        <v>0</v>
      </c>
      <c r="P19" s="65">
        <f>R7*O19</f>
        <v>0</v>
      </c>
      <c r="Q19" s="63"/>
      <c r="R19" s="64">
        <v>0</v>
      </c>
      <c r="S19" s="65">
        <f>R7*R19</f>
        <v>0</v>
      </c>
    </row>
    <row r="20" spans="1:19" ht="15.75">
      <c r="A20" s="80">
        <v>46214</v>
      </c>
      <c r="B20" s="81">
        <v>411</v>
      </c>
      <c r="C20" s="435" t="s">
        <v>61</v>
      </c>
      <c r="D20" s="81">
        <v>172</v>
      </c>
      <c r="E20" s="81">
        <v>29</v>
      </c>
      <c r="F20" s="81">
        <v>118</v>
      </c>
      <c r="G20" s="81">
        <v>1659</v>
      </c>
      <c r="H20" s="135">
        <v>205</v>
      </c>
      <c r="I20" s="79">
        <f t="shared" si="0"/>
        <v>0.58706467661691542</v>
      </c>
      <c r="J20" s="79">
        <f t="shared" si="1"/>
        <v>14.059322033898304</v>
      </c>
      <c r="K20" s="79">
        <f t="shared" si="2"/>
        <v>1.0199004975124377</v>
      </c>
      <c r="N20" s="63">
        <v>9</v>
      </c>
      <c r="O20" s="64">
        <v>0</v>
      </c>
      <c r="P20" s="65">
        <f>R7*O20</f>
        <v>0</v>
      </c>
      <c r="Q20" s="63"/>
      <c r="R20" s="64">
        <v>0</v>
      </c>
      <c r="S20" s="65">
        <f>R7*R20</f>
        <v>0</v>
      </c>
    </row>
    <row r="21" spans="1:19" ht="15.75" customHeight="1">
      <c r="A21" s="356">
        <v>46215</v>
      </c>
      <c r="B21" s="294">
        <v>413</v>
      </c>
      <c r="C21" s="437" t="s">
        <v>62</v>
      </c>
      <c r="D21" s="81">
        <v>153</v>
      </c>
      <c r="E21" s="81">
        <v>24</v>
      </c>
      <c r="F21" s="81">
        <v>99</v>
      </c>
      <c r="G21" s="81">
        <v>1392</v>
      </c>
      <c r="H21" s="81">
        <v>102</v>
      </c>
      <c r="I21" s="79">
        <f t="shared" si="0"/>
        <v>0.55932203389830504</v>
      </c>
      <c r="J21" s="79">
        <f t="shared" si="1"/>
        <v>14.060606060606061</v>
      </c>
      <c r="K21" s="79">
        <f t="shared" si="2"/>
        <v>0.57627118644067798</v>
      </c>
      <c r="N21" s="68" t="s">
        <v>53</v>
      </c>
      <c r="O21" s="64">
        <v>0</v>
      </c>
      <c r="P21" s="65">
        <f>R7*O21</f>
        <v>0</v>
      </c>
      <c r="Q21" s="63"/>
      <c r="R21" s="64"/>
      <c r="S21" s="65">
        <f>R7*R21</f>
        <v>0</v>
      </c>
    </row>
    <row r="22" spans="1:19" ht="15.75" customHeight="1">
      <c r="A22" s="175">
        <v>46215</v>
      </c>
      <c r="B22" s="355">
        <v>411</v>
      </c>
      <c r="C22" s="437" t="s">
        <v>61</v>
      </c>
      <c r="D22" s="81">
        <v>159</v>
      </c>
      <c r="E22" s="81">
        <v>34</v>
      </c>
      <c r="F22" s="81">
        <v>79</v>
      </c>
      <c r="G22" s="81">
        <v>1187</v>
      </c>
      <c r="H22" s="81">
        <v>240</v>
      </c>
      <c r="I22" s="79">
        <f t="shared" si="0"/>
        <v>0.40932642487046633</v>
      </c>
      <c r="J22" s="79">
        <f t="shared" si="1"/>
        <v>15.025316455696203</v>
      </c>
      <c r="K22" s="79">
        <f t="shared" si="2"/>
        <v>1.2435233160621761</v>
      </c>
      <c r="N22" s="59" t="s">
        <v>59</v>
      </c>
      <c r="O22" s="69">
        <f>P8-O12-O13-O14-O15-O16-O17-O18-O19-O20-O21</f>
        <v>-38.137012875605208</v>
      </c>
      <c r="P22" s="69">
        <f>Q8-P12-P13-P14-P15-P16-P17-P18-P19-P20-P21</f>
        <v>-545.63720343141745</v>
      </c>
      <c r="Q22" s="59" t="s">
        <v>59</v>
      </c>
      <c r="R22" s="69">
        <f>P8-R12-R13-R14-R15-R16-R17-R18-R19-R20-R21</f>
        <v>7.8629871243947917</v>
      </c>
      <c r="S22" s="69">
        <f>Q8-S12-S13-S14-S15-S16-S17-S18-S19-S20-S21</f>
        <v>112.49801653753497</v>
      </c>
    </row>
    <row r="23" spans="1:19" ht="15.75" customHeight="1">
      <c r="A23" s="400">
        <v>46216</v>
      </c>
      <c r="B23" s="81">
        <v>411</v>
      </c>
      <c r="C23" s="440" t="s">
        <v>61</v>
      </c>
      <c r="D23" s="81">
        <v>164</v>
      </c>
      <c r="E23" s="81">
        <v>40</v>
      </c>
      <c r="F23" s="81">
        <v>106</v>
      </c>
      <c r="G23" s="81">
        <v>1517</v>
      </c>
      <c r="H23" s="81">
        <v>235</v>
      </c>
      <c r="I23" s="79">
        <f t="shared" si="0"/>
        <v>0.51960784313725494</v>
      </c>
      <c r="J23" s="79">
        <f t="shared" si="1"/>
        <v>14.311320754716981</v>
      </c>
      <c r="K23" s="79">
        <f t="shared" si="2"/>
        <v>1.1519607843137254</v>
      </c>
      <c r="N23" s="59" t="s">
        <v>60</v>
      </c>
      <c r="O23" s="62">
        <f>O12+O13+O14+O15+O16+O17+O18+O19+O20+O21</f>
        <v>125</v>
      </c>
      <c r="P23" s="62">
        <f>P12+P13+P14+P15+P16+P17+P18+P19+P20+P21</f>
        <v>1788.4109238286751</v>
      </c>
      <c r="Q23" s="59" t="s">
        <v>60</v>
      </c>
      <c r="R23" s="62">
        <f>R12+R13+R14+R15+R16+R17+R18+R19+R20+R21</f>
        <v>79</v>
      </c>
      <c r="S23" s="62">
        <f>S12+S13+S14+S15+S16+S17+S18+S19+S20+S21</f>
        <v>1130.2757038597229</v>
      </c>
    </row>
    <row r="24" spans="1:19" ht="15.75" customHeight="1">
      <c r="A24" s="80">
        <v>46217</v>
      </c>
      <c r="B24" s="331">
        <v>409</v>
      </c>
      <c r="C24" s="440" t="s">
        <v>62</v>
      </c>
      <c r="D24" s="81">
        <v>137</v>
      </c>
      <c r="E24" s="81">
        <v>30</v>
      </c>
      <c r="F24" s="81">
        <v>94</v>
      </c>
      <c r="G24" s="81">
        <v>1341</v>
      </c>
      <c r="H24" s="81">
        <v>526</v>
      </c>
      <c r="I24" s="79">
        <f t="shared" si="0"/>
        <v>0.56287425149700598</v>
      </c>
      <c r="J24" s="79">
        <f t="shared" si="1"/>
        <v>14.26595744680851</v>
      </c>
      <c r="K24" s="79">
        <f t="shared" si="2"/>
        <v>3.1497005988023954</v>
      </c>
    </row>
    <row r="25" spans="1:19" ht="15.75" customHeight="1">
      <c r="A25" s="80">
        <v>46218</v>
      </c>
      <c r="B25" s="332">
        <v>411</v>
      </c>
      <c r="C25" s="440" t="s">
        <v>62</v>
      </c>
      <c r="D25" s="81">
        <v>143</v>
      </c>
      <c r="E25" s="81">
        <v>31</v>
      </c>
      <c r="F25" s="81">
        <v>92</v>
      </c>
      <c r="G25" s="81">
        <v>1301</v>
      </c>
      <c r="H25" s="81">
        <v>364</v>
      </c>
      <c r="I25" s="79">
        <f t="shared" si="0"/>
        <v>0.52873563218390807</v>
      </c>
      <c r="J25" s="79">
        <f t="shared" si="1"/>
        <v>14.141304347826088</v>
      </c>
      <c r="K25" s="79">
        <f t="shared" si="2"/>
        <v>2.0919540229885056</v>
      </c>
    </row>
    <row r="26" spans="1:19" ht="15.75" customHeight="1">
      <c r="A26" s="80">
        <v>46219</v>
      </c>
      <c r="B26" s="81">
        <v>413</v>
      </c>
      <c r="C26" s="445" t="s">
        <v>62</v>
      </c>
      <c r="D26" s="81">
        <v>155</v>
      </c>
      <c r="E26" s="81">
        <v>31</v>
      </c>
      <c r="F26" s="81">
        <v>88</v>
      </c>
      <c r="G26" s="81">
        <v>1269</v>
      </c>
      <c r="H26" s="81">
        <v>245</v>
      </c>
      <c r="I26" s="79">
        <f t="shared" si="0"/>
        <v>0.4731182795698925</v>
      </c>
      <c r="J26" s="79">
        <f t="shared" si="1"/>
        <v>14.420454545454545</v>
      </c>
      <c r="K26" s="79">
        <f t="shared" si="2"/>
        <v>1.3172043010752688</v>
      </c>
    </row>
    <row r="27" spans="1:19" ht="15.75" customHeight="1">
      <c r="A27" s="80">
        <v>46220</v>
      </c>
      <c r="B27" s="81">
        <v>411</v>
      </c>
      <c r="C27" s="448" t="s">
        <v>62</v>
      </c>
      <c r="D27" s="81">
        <v>147</v>
      </c>
      <c r="E27" s="81">
        <v>34</v>
      </c>
      <c r="F27" s="81">
        <v>61</v>
      </c>
      <c r="G27" s="81">
        <v>850</v>
      </c>
      <c r="H27" s="81">
        <v>461</v>
      </c>
      <c r="I27" s="79">
        <f t="shared" si="0"/>
        <v>0.33701657458563539</v>
      </c>
      <c r="J27" s="79">
        <f t="shared" si="1"/>
        <v>13.934426229508198</v>
      </c>
      <c r="K27" s="79">
        <f t="shared" si="2"/>
        <v>2.5469613259668509</v>
      </c>
    </row>
    <row r="28" spans="1:19" ht="15.75" customHeight="1">
      <c r="A28" s="80"/>
      <c r="B28" s="81"/>
      <c r="C28" s="404"/>
      <c r="D28" s="81"/>
      <c r="E28" s="81"/>
      <c r="F28" s="81"/>
      <c r="G28" s="81"/>
      <c r="H28" s="81"/>
      <c r="I28" s="79"/>
      <c r="J28" s="79"/>
      <c r="K28" s="79"/>
    </row>
    <row r="29" spans="1:19" ht="15.75" customHeight="1">
      <c r="A29" s="80"/>
      <c r="B29" s="81"/>
      <c r="C29" s="404"/>
      <c r="D29" s="81"/>
      <c r="E29" s="81"/>
      <c r="F29" s="81"/>
      <c r="G29" s="81"/>
      <c r="H29" s="81"/>
      <c r="I29" s="79"/>
      <c r="J29" s="79"/>
      <c r="K29" s="79"/>
    </row>
    <row r="30" spans="1:19" ht="15.75" customHeight="1">
      <c r="A30" s="80"/>
      <c r="B30" s="81"/>
      <c r="C30" s="404"/>
      <c r="D30" s="81"/>
      <c r="E30" s="81"/>
      <c r="F30" s="81"/>
      <c r="G30" s="81"/>
      <c r="H30" s="81"/>
      <c r="I30" s="79"/>
      <c r="J30" s="79"/>
      <c r="K30" s="79"/>
    </row>
    <row r="31" spans="1:19" ht="15.75" customHeight="1">
      <c r="A31" s="80"/>
      <c r="B31" s="204"/>
      <c r="C31" s="404"/>
      <c r="D31" s="123"/>
      <c r="E31" s="81"/>
      <c r="F31" s="81"/>
      <c r="G31" s="81"/>
      <c r="H31" s="81"/>
      <c r="I31" s="79"/>
      <c r="J31" s="79"/>
      <c r="K31" s="79"/>
    </row>
    <row r="32" spans="1:19" ht="15.75" customHeight="1">
      <c r="A32" s="80"/>
      <c r="B32" s="81"/>
      <c r="C32" s="404"/>
      <c r="D32" s="81"/>
      <c r="E32" s="81"/>
      <c r="F32" s="81"/>
      <c r="G32" s="81"/>
      <c r="H32" s="81"/>
      <c r="I32" s="79"/>
      <c r="J32" s="79"/>
      <c r="K32" s="79"/>
    </row>
    <row r="33" spans="1:11" ht="15.75" customHeight="1">
      <c r="A33" s="80"/>
      <c r="B33" s="81"/>
      <c r="C33" s="407"/>
      <c r="D33" s="81"/>
      <c r="E33" s="81"/>
      <c r="F33" s="81"/>
      <c r="G33" s="81"/>
      <c r="H33" s="81"/>
      <c r="I33" s="79"/>
      <c r="J33" s="79"/>
      <c r="K33" s="79"/>
    </row>
    <row r="34" spans="1:11" ht="15.75" customHeight="1">
      <c r="A34" s="147"/>
      <c r="B34" s="81"/>
      <c r="C34" s="407"/>
      <c r="D34" s="81"/>
      <c r="E34" s="81"/>
      <c r="F34" s="81"/>
      <c r="G34" s="81"/>
      <c r="H34" s="81"/>
      <c r="I34" s="79"/>
      <c r="J34" s="79"/>
      <c r="K34" s="79"/>
    </row>
    <row r="35" spans="1:11" ht="15.75" customHeight="1">
      <c r="A35" s="80"/>
      <c r="B35" s="81"/>
      <c r="C35" s="407"/>
      <c r="D35" s="81"/>
      <c r="E35" s="81"/>
      <c r="F35" s="81"/>
      <c r="G35" s="81"/>
      <c r="H35" s="81"/>
      <c r="I35" s="79"/>
      <c r="J35" s="79"/>
      <c r="K35" s="79"/>
    </row>
    <row r="36" spans="1:11" ht="15.75" customHeight="1">
      <c r="A36" s="216"/>
      <c r="B36" s="392"/>
      <c r="C36" s="407"/>
      <c r="D36" s="81"/>
      <c r="E36" s="81"/>
      <c r="F36" s="81"/>
      <c r="G36" s="81"/>
      <c r="H36" s="81"/>
      <c r="I36" s="79"/>
      <c r="J36" s="79"/>
      <c r="K36" s="79"/>
    </row>
    <row r="37" spans="1:11" ht="15.75" customHeight="1">
      <c r="A37" s="80"/>
      <c r="B37" s="81"/>
      <c r="C37" s="407"/>
      <c r="D37" s="81"/>
      <c r="E37" s="81"/>
      <c r="F37" s="81"/>
      <c r="G37" s="81"/>
      <c r="H37" s="81"/>
      <c r="I37" s="79"/>
      <c r="J37" s="79"/>
      <c r="K37" s="79"/>
    </row>
    <row r="38" spans="1:11" ht="15.75" customHeight="1">
      <c r="A38" s="217"/>
      <c r="B38" s="81"/>
      <c r="C38" s="409"/>
      <c r="D38" s="81"/>
      <c r="E38" s="81"/>
      <c r="F38" s="81"/>
      <c r="G38" s="81"/>
      <c r="H38" s="81"/>
      <c r="I38" s="79"/>
      <c r="J38" s="79"/>
      <c r="K38" s="79"/>
    </row>
    <row r="39" spans="1:11" ht="15.75" customHeight="1">
      <c r="A39" s="80"/>
      <c r="B39" s="81"/>
      <c r="C39" s="409"/>
      <c r="D39" s="81"/>
      <c r="E39" s="81"/>
      <c r="F39" s="81"/>
      <c r="G39" s="81"/>
      <c r="H39" s="81"/>
      <c r="I39" s="79"/>
      <c r="J39" s="79"/>
      <c r="K39" s="79"/>
    </row>
    <row r="40" spans="1:11" ht="15.75" customHeight="1">
      <c r="A40" s="80"/>
      <c r="B40" s="81"/>
      <c r="C40" s="413"/>
      <c r="D40" s="81"/>
      <c r="E40" s="81"/>
      <c r="F40" s="81"/>
      <c r="G40" s="81"/>
      <c r="H40" s="81"/>
      <c r="I40" s="79"/>
      <c r="J40" s="79"/>
      <c r="K40" s="79"/>
    </row>
    <row r="41" spans="1:11" ht="15.75" customHeight="1">
      <c r="A41" s="80"/>
      <c r="B41" s="276"/>
      <c r="C41" s="417"/>
      <c r="D41" s="81"/>
      <c r="E41" s="81"/>
      <c r="F41" s="81"/>
      <c r="G41" s="81"/>
      <c r="H41" s="81"/>
      <c r="I41" s="79"/>
      <c r="J41" s="79"/>
      <c r="K41" s="79"/>
    </row>
    <row r="42" spans="1:11" ht="15.75" customHeight="1">
      <c r="A42" s="80"/>
      <c r="B42" s="81"/>
      <c r="C42" s="252"/>
      <c r="D42" s="81"/>
      <c r="E42" s="81"/>
      <c r="F42" s="81"/>
      <c r="G42" s="81"/>
      <c r="H42" s="81"/>
      <c r="I42" s="79"/>
      <c r="J42" s="79"/>
      <c r="K42" s="79"/>
    </row>
    <row r="43" spans="1:11" ht="15.75" customHeight="1">
      <c r="A43" s="80"/>
      <c r="B43" s="81"/>
      <c r="C43" s="252"/>
      <c r="D43" s="81"/>
      <c r="E43" s="81"/>
      <c r="F43" s="81"/>
      <c r="G43" s="81"/>
      <c r="H43" s="81"/>
      <c r="I43" s="79"/>
      <c r="J43" s="79"/>
      <c r="K43" s="79"/>
    </row>
    <row r="44" spans="1:11" ht="15.75" customHeight="1">
      <c r="A44" s="80"/>
      <c r="B44" s="81"/>
      <c r="C44" s="252"/>
      <c r="D44" s="81"/>
      <c r="E44" s="81"/>
      <c r="F44" s="81"/>
      <c r="G44" s="81"/>
      <c r="H44" s="81"/>
      <c r="I44" s="79"/>
      <c r="J44" s="79"/>
      <c r="K44" s="79"/>
    </row>
    <row r="45" spans="1:11" ht="15.75" customHeight="1">
      <c r="A45" s="80"/>
      <c r="B45" s="81"/>
      <c r="C45" s="253"/>
      <c r="D45" s="81"/>
      <c r="E45" s="81"/>
      <c r="F45" s="81"/>
      <c r="G45" s="81"/>
      <c r="H45" s="81"/>
      <c r="I45" s="79"/>
      <c r="J45" s="79"/>
      <c r="K45" s="79"/>
    </row>
    <row r="46" spans="1:11" ht="15.75" customHeight="1">
      <c r="A46" s="80"/>
      <c r="B46" s="81"/>
      <c r="C46" s="253"/>
      <c r="D46" s="81"/>
      <c r="E46" s="81"/>
      <c r="F46" s="81"/>
      <c r="G46" s="81"/>
      <c r="H46" s="81"/>
      <c r="I46" s="79"/>
      <c r="J46" s="79"/>
      <c r="K46" s="79"/>
    </row>
    <row r="47" spans="1:11" ht="15.75" customHeight="1">
      <c r="A47" s="80"/>
      <c r="B47" s="81"/>
      <c r="C47" s="253"/>
      <c r="D47" s="81"/>
      <c r="E47" s="81"/>
      <c r="F47" s="81"/>
      <c r="G47" s="81"/>
      <c r="H47" s="81"/>
      <c r="I47" s="79"/>
      <c r="J47" s="79"/>
      <c r="K47" s="79"/>
    </row>
    <row r="48" spans="1:11" ht="15.75" customHeight="1">
      <c r="A48" s="80"/>
      <c r="B48" s="81"/>
      <c r="C48" s="254"/>
      <c r="D48" s="81"/>
      <c r="E48" s="81"/>
      <c r="F48" s="81"/>
      <c r="G48" s="81"/>
      <c r="H48" s="81"/>
      <c r="I48" s="79"/>
      <c r="J48" s="79"/>
      <c r="K48" s="79"/>
    </row>
    <row r="49" spans="1:19" ht="15.75" customHeight="1">
      <c r="A49" s="80"/>
      <c r="B49" s="81"/>
      <c r="C49" s="254"/>
      <c r="D49" s="81"/>
      <c r="E49" s="81"/>
      <c r="F49" s="81"/>
      <c r="G49" s="81"/>
      <c r="H49" s="81"/>
      <c r="I49" s="79"/>
      <c r="J49" s="79"/>
      <c r="K49" s="79"/>
    </row>
    <row r="50" spans="1:19" ht="15.75" customHeight="1">
      <c r="A50" s="80"/>
      <c r="B50" s="81"/>
      <c r="C50" s="254"/>
      <c r="D50" s="81"/>
      <c r="E50" s="81"/>
      <c r="F50" s="81"/>
      <c r="G50" s="81"/>
      <c r="H50" s="81"/>
      <c r="I50" s="79"/>
      <c r="J50" s="79"/>
      <c r="K50" s="79"/>
    </row>
    <row r="51" spans="1:19" ht="15.75" customHeight="1">
      <c r="A51" s="80"/>
      <c r="B51" s="81"/>
      <c r="C51" s="255"/>
      <c r="D51" s="81"/>
      <c r="E51" s="81"/>
      <c r="F51" s="81"/>
      <c r="G51" s="81"/>
      <c r="H51" s="81"/>
      <c r="I51" s="79"/>
      <c r="J51" s="79"/>
      <c r="K51" s="79"/>
    </row>
    <row r="52" spans="1:19" ht="15.75" customHeight="1">
      <c r="A52" s="80"/>
      <c r="B52" s="81"/>
      <c r="C52" s="241"/>
      <c r="D52" s="81"/>
      <c r="E52" s="81"/>
      <c r="F52" s="81"/>
      <c r="G52" s="81"/>
      <c r="H52" s="81"/>
      <c r="I52" s="79"/>
      <c r="J52" s="79"/>
      <c r="K52" s="79"/>
    </row>
    <row r="53" spans="1:19" ht="15.75" customHeight="1">
      <c r="A53" s="80"/>
      <c r="B53" s="81"/>
      <c r="C53" s="242"/>
      <c r="D53" s="81"/>
      <c r="E53" s="81"/>
      <c r="F53" s="81"/>
      <c r="G53" s="81"/>
      <c r="H53" s="81"/>
      <c r="I53" s="79"/>
      <c r="J53" s="79"/>
      <c r="K53" s="79"/>
    </row>
    <row r="54" spans="1:19" ht="15.75" customHeight="1">
      <c r="A54" s="80"/>
      <c r="B54" s="81"/>
      <c r="C54" s="245"/>
      <c r="D54" s="81"/>
      <c r="E54" s="81"/>
      <c r="F54" s="81"/>
      <c r="G54" s="81"/>
      <c r="H54" s="81"/>
      <c r="I54" s="79"/>
      <c r="J54" s="79"/>
      <c r="K54" s="79"/>
    </row>
    <row r="55" spans="1:19" ht="15.75" customHeight="1">
      <c r="A55" s="80"/>
      <c r="B55" s="81"/>
      <c r="C55" s="245"/>
      <c r="D55" s="81"/>
      <c r="E55" s="81"/>
      <c r="F55" s="81"/>
      <c r="G55" s="81"/>
      <c r="H55" s="81"/>
      <c r="I55" s="79"/>
      <c r="J55" s="79"/>
      <c r="K55" s="79"/>
      <c r="N55" s="67"/>
      <c r="O55" s="67"/>
      <c r="P55" s="67"/>
      <c r="Q55" s="67"/>
      <c r="R55" s="67"/>
      <c r="S55" s="67"/>
    </row>
    <row r="56" spans="1:19" ht="15.75" customHeight="1">
      <c r="N56" s="72"/>
      <c r="O56" s="72"/>
      <c r="P56" s="72"/>
      <c r="Q56" s="72"/>
      <c r="R56" s="72"/>
      <c r="S56" s="72"/>
    </row>
    <row r="57" spans="1:19" ht="15.75" customHeight="1"/>
    <row r="58" spans="1:19" ht="15.75" customHeight="1"/>
    <row r="59" spans="1:19" ht="15.75" customHeight="1"/>
    <row r="60" spans="1:19" ht="15.75" customHeight="1"/>
    <row r="61" spans="1:19" ht="15.75" customHeight="1"/>
    <row r="62" spans="1:19" ht="15.75" customHeight="1"/>
    <row r="63" spans="1:19" ht="15.75" customHeight="1"/>
    <row r="64" spans="1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70.xml><?xml version="1.0" encoding="utf-8"?>
<worksheet xmlns="http://schemas.openxmlformats.org/spreadsheetml/2006/main" xmlns:r="http://schemas.openxmlformats.org/officeDocument/2006/relationships">
  <dimension ref="A1:S24"/>
  <sheetViews>
    <sheetView workbookViewId="0">
      <selection activeCell="A8" sqref="A8"/>
    </sheetView>
  </sheetViews>
  <sheetFormatPr defaultRowHeight="15"/>
  <cols>
    <col min="1" max="1" width="10.7109375" bestFit="1" customWidth="1"/>
    <col min="8" max="8" width="11.140625" customWidth="1"/>
    <col min="9" max="9" width="11.85546875" customWidth="1"/>
    <col min="10" max="10" width="12.5703125" customWidth="1"/>
    <col min="14" max="14" width="17.140625" customWidth="1"/>
    <col min="15" max="16" width="11.5703125" customWidth="1"/>
    <col min="18" max="18" width="10.42578125" customWidth="1"/>
    <col min="19" max="19" width="11.42578125" customWidth="1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  <c r="L1" s="49"/>
      <c r="M1" s="49"/>
      <c r="N1" s="49"/>
      <c r="O1" s="49"/>
      <c r="P1" s="49"/>
      <c r="Q1" s="49"/>
      <c r="R1" s="49"/>
      <c r="S1" s="49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205</v>
      </c>
      <c r="L2" s="49"/>
      <c r="M2" s="49"/>
      <c r="N2" s="49"/>
      <c r="O2" s="49"/>
      <c r="P2" s="49"/>
      <c r="Q2" s="49"/>
      <c r="R2" s="49"/>
      <c r="S2" s="49"/>
    </row>
    <row r="3" spans="1:19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  <c r="L3" s="49"/>
      <c r="M3" s="49"/>
      <c r="N3" s="49"/>
      <c r="O3" s="49"/>
      <c r="P3" s="49"/>
      <c r="Q3" s="49"/>
      <c r="R3" s="49"/>
      <c r="S3" s="49"/>
    </row>
    <row r="4" spans="1:19">
      <c r="A4" s="73" t="s">
        <v>66</v>
      </c>
      <c r="B4" s="73" t="s">
        <v>32</v>
      </c>
      <c r="C4" s="510">
        <f>AVERAGEA(I7:I29)</f>
        <v>0.4854368932038835</v>
      </c>
      <c r="D4" s="511"/>
      <c r="E4" s="510">
        <f>AVERAGEA(J7:J29)</f>
        <v>13.24</v>
      </c>
      <c r="F4" s="511"/>
      <c r="G4" s="510">
        <f>AVERAGEA(K7:K29)</f>
        <v>1.6699029126213591</v>
      </c>
      <c r="H4" s="511"/>
      <c r="I4" s="74">
        <f>C4*K2</f>
        <v>99.514563106796118</v>
      </c>
      <c r="J4" s="74">
        <f>I4*E4</f>
        <v>1317.5728155339807</v>
      </c>
      <c r="K4" s="74">
        <f>K2*G4</f>
        <v>342.33009708737865</v>
      </c>
      <c r="L4" s="49"/>
      <c r="M4" s="49"/>
      <c r="N4" s="49"/>
      <c r="O4" s="49"/>
      <c r="P4" s="49"/>
      <c r="Q4" s="49"/>
      <c r="R4" s="49"/>
      <c r="S4" s="49"/>
    </row>
    <row r="5" spans="1:19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L5" s="49"/>
      <c r="M5" s="49"/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  <c r="L6" s="49"/>
      <c r="M6" s="49"/>
      <c r="N6" s="520"/>
      <c r="O6" s="520"/>
      <c r="P6" s="520"/>
      <c r="Q6" s="520"/>
      <c r="R6" s="520"/>
      <c r="S6" s="520"/>
    </row>
    <row r="7" spans="1:19" ht="15.75">
      <c r="A7" s="77">
        <v>46204</v>
      </c>
      <c r="B7" s="78" t="s">
        <v>138</v>
      </c>
      <c r="C7" s="78" t="s">
        <v>73</v>
      </c>
      <c r="D7" s="78">
        <v>168</v>
      </c>
      <c r="E7" s="78">
        <v>38</v>
      </c>
      <c r="F7" s="78">
        <v>100</v>
      </c>
      <c r="G7" s="78">
        <v>1324</v>
      </c>
      <c r="H7" s="78">
        <v>344</v>
      </c>
      <c r="I7" s="79">
        <f t="shared" ref="I7" si="0">F7/(D7+E7)</f>
        <v>0.4854368932038835</v>
      </c>
      <c r="J7" s="79">
        <f t="shared" ref="J7" si="1">G7/F7</f>
        <v>13.24</v>
      </c>
      <c r="K7" s="79">
        <f t="shared" ref="K7" si="2">H7/(D7+E7)</f>
        <v>1.6699029126213591</v>
      </c>
      <c r="L7" s="49"/>
      <c r="M7" s="49"/>
      <c r="N7" s="59" t="s">
        <v>49</v>
      </c>
      <c r="O7" s="60">
        <f>K2</f>
        <v>205</v>
      </c>
      <c r="P7" s="61">
        <f>I4</f>
        <v>99.514563106796118</v>
      </c>
      <c r="Q7" s="61">
        <f>J4</f>
        <v>1317.5728155339807</v>
      </c>
      <c r="R7" s="539">
        <f>Q7/P7</f>
        <v>13.24</v>
      </c>
      <c r="S7" s="539">
        <f>P7/O7</f>
        <v>0.4854368932038835</v>
      </c>
    </row>
    <row r="8" spans="1:19" ht="15.75">
      <c r="A8" s="80"/>
      <c r="B8" s="397"/>
      <c r="C8" s="397"/>
      <c r="D8" s="81"/>
      <c r="E8" s="81"/>
      <c r="F8" s="81"/>
      <c r="G8" s="81"/>
      <c r="H8" s="81"/>
      <c r="I8" s="79"/>
      <c r="J8" s="79"/>
      <c r="K8" s="79"/>
      <c r="L8" s="49"/>
      <c r="M8" s="49"/>
      <c r="N8" s="59" t="s">
        <v>50</v>
      </c>
      <c r="O8" s="60">
        <f>O7</f>
        <v>205</v>
      </c>
      <c r="P8" s="62">
        <f>O8*S7</f>
        <v>99.514563106796118</v>
      </c>
      <c r="Q8" s="62">
        <f>P8*R7</f>
        <v>1317.5728155339807</v>
      </c>
      <c r="R8" s="520"/>
      <c r="S8" s="520"/>
    </row>
    <row r="9" spans="1:19">
      <c r="A9" s="80"/>
      <c r="B9" s="319"/>
      <c r="C9" s="401"/>
      <c r="D9" s="81"/>
      <c r="E9" s="81"/>
      <c r="F9" s="81"/>
      <c r="G9" s="81"/>
      <c r="H9" s="81"/>
      <c r="I9" s="79"/>
      <c r="J9" s="79"/>
      <c r="K9" s="79"/>
      <c r="L9" s="49"/>
      <c r="M9" s="49"/>
      <c r="N9" s="521" t="s">
        <v>51</v>
      </c>
      <c r="O9" s="516"/>
      <c r="P9" s="516"/>
      <c r="Q9" s="516"/>
      <c r="R9" s="516"/>
      <c r="S9" s="511"/>
    </row>
    <row r="10" spans="1:19">
      <c r="A10" s="80"/>
      <c r="B10" s="322"/>
      <c r="C10" s="401"/>
      <c r="D10" s="81"/>
      <c r="E10" s="81"/>
      <c r="F10" s="81"/>
      <c r="G10" s="81"/>
      <c r="H10" s="81"/>
      <c r="I10" s="79"/>
      <c r="J10" s="79"/>
      <c r="K10" s="79"/>
      <c r="L10" s="49"/>
      <c r="M10" s="49"/>
      <c r="N10" s="521" t="s">
        <v>52</v>
      </c>
      <c r="O10" s="516"/>
      <c r="P10" s="511"/>
      <c r="Q10" s="521" t="s">
        <v>53</v>
      </c>
      <c r="R10" s="516"/>
      <c r="S10" s="511"/>
    </row>
    <row r="11" spans="1:19">
      <c r="A11" s="80"/>
      <c r="B11" s="402"/>
      <c r="C11" s="402"/>
      <c r="D11" s="81"/>
      <c r="E11" s="81"/>
      <c r="F11" s="81"/>
      <c r="G11" s="81"/>
      <c r="H11" s="81"/>
      <c r="I11" s="79"/>
      <c r="J11" s="79"/>
      <c r="K11" s="79"/>
      <c r="L11" s="49"/>
      <c r="M11" s="49"/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.75">
      <c r="A12" s="80"/>
      <c r="B12" s="404"/>
      <c r="C12" s="404"/>
      <c r="D12" s="81"/>
      <c r="E12" s="81"/>
      <c r="F12" s="81"/>
      <c r="G12" s="81"/>
      <c r="H12" s="81"/>
      <c r="I12" s="79"/>
      <c r="J12" s="79"/>
      <c r="K12" s="79"/>
      <c r="L12" s="49"/>
      <c r="M12" s="49"/>
      <c r="N12" s="63">
        <v>1</v>
      </c>
      <c r="O12" s="64">
        <v>0</v>
      </c>
      <c r="P12" s="65">
        <f>O12*R7</f>
        <v>0</v>
      </c>
      <c r="Q12" s="63">
        <v>3</v>
      </c>
      <c r="R12" s="64">
        <v>40</v>
      </c>
      <c r="S12" s="65">
        <f>R12*R7</f>
        <v>529.6</v>
      </c>
    </row>
    <row r="13" spans="1:19" ht="15.75">
      <c r="A13" s="80"/>
      <c r="B13" s="407"/>
      <c r="C13" s="407"/>
      <c r="D13" s="81"/>
      <c r="E13" s="81"/>
      <c r="F13" s="81"/>
      <c r="G13" s="81"/>
      <c r="H13" s="81"/>
      <c r="I13" s="79"/>
      <c r="J13" s="79"/>
      <c r="K13" s="79"/>
      <c r="L13" s="49"/>
      <c r="M13" s="49"/>
      <c r="N13" s="63">
        <v>2</v>
      </c>
      <c r="O13" s="64">
        <v>0</v>
      </c>
      <c r="P13" s="65">
        <f>O13*R7</f>
        <v>0</v>
      </c>
      <c r="Q13" s="63">
        <v>4</v>
      </c>
      <c r="R13" s="64">
        <v>58</v>
      </c>
      <c r="S13" s="65">
        <f>R7*R13</f>
        <v>767.92</v>
      </c>
    </row>
    <row r="14" spans="1:19" ht="15.75">
      <c r="A14" s="311"/>
      <c r="B14" s="409"/>
      <c r="C14" s="409"/>
      <c r="D14" s="81"/>
      <c r="E14" s="81"/>
      <c r="F14" s="81"/>
      <c r="G14" s="81"/>
      <c r="H14" s="81"/>
      <c r="I14" s="79"/>
      <c r="J14" s="79"/>
      <c r="K14" s="79"/>
      <c r="L14" s="49"/>
      <c r="M14" s="49"/>
      <c r="N14" s="63">
        <v>3</v>
      </c>
      <c r="O14" s="64">
        <v>28</v>
      </c>
      <c r="P14" s="65">
        <f>R7*O14</f>
        <v>370.72</v>
      </c>
      <c r="Q14" s="63">
        <v>5</v>
      </c>
      <c r="R14" s="64">
        <v>0</v>
      </c>
      <c r="S14" s="65">
        <f>R14*R7</f>
        <v>0</v>
      </c>
    </row>
    <row r="15" spans="1:19" ht="15.75">
      <c r="A15" s="80"/>
      <c r="B15" s="296"/>
      <c r="C15" s="333"/>
      <c r="D15" s="81"/>
      <c r="E15" s="81"/>
      <c r="F15" s="81"/>
      <c r="G15" s="81"/>
      <c r="H15" s="81"/>
      <c r="I15" s="79"/>
      <c r="J15" s="79"/>
      <c r="K15" s="79"/>
      <c r="L15" s="49"/>
      <c r="M15" s="49"/>
      <c r="N15" s="63">
        <v>4</v>
      </c>
      <c r="O15" s="64">
        <v>28</v>
      </c>
      <c r="P15" s="65">
        <f>R7*O15</f>
        <v>370.72</v>
      </c>
      <c r="Q15" s="63">
        <v>1</v>
      </c>
      <c r="R15" s="64">
        <v>0</v>
      </c>
      <c r="S15" s="65">
        <f>R7*R15</f>
        <v>0</v>
      </c>
    </row>
    <row r="16" spans="1:19" ht="15.75">
      <c r="A16" s="80"/>
      <c r="B16" s="298"/>
      <c r="C16" s="298"/>
      <c r="D16" s="81"/>
      <c r="E16" s="81"/>
      <c r="F16" s="81"/>
      <c r="G16" s="81"/>
      <c r="H16" s="81"/>
      <c r="I16" s="79"/>
      <c r="J16" s="79"/>
      <c r="K16" s="79"/>
      <c r="L16" s="49"/>
      <c r="M16" s="49"/>
      <c r="N16" s="63">
        <v>5</v>
      </c>
      <c r="O16" s="64">
        <v>28</v>
      </c>
      <c r="P16" s="65">
        <f>R7*O16</f>
        <v>370.72</v>
      </c>
      <c r="Q16" s="63"/>
      <c r="R16" s="64">
        <v>0</v>
      </c>
      <c r="S16" s="65">
        <f>R7*R16</f>
        <v>0</v>
      </c>
    </row>
    <row r="17" spans="1:19" ht="15.75">
      <c r="A17" s="80"/>
      <c r="B17" s="204"/>
      <c r="C17" s="253"/>
      <c r="D17" s="81"/>
      <c r="E17" s="81"/>
      <c r="F17" s="81"/>
      <c r="G17" s="81"/>
      <c r="H17" s="81"/>
      <c r="I17" s="79"/>
      <c r="J17" s="79"/>
      <c r="K17" s="79"/>
      <c r="L17" s="49"/>
      <c r="M17" s="49"/>
      <c r="N17" s="63">
        <v>6</v>
      </c>
      <c r="O17" s="64">
        <v>28</v>
      </c>
      <c r="P17" s="65">
        <f>R7*O17</f>
        <v>370.72</v>
      </c>
      <c r="Q17" s="63"/>
      <c r="R17" s="64">
        <v>0</v>
      </c>
      <c r="S17" s="65">
        <f>R7*R17</f>
        <v>0</v>
      </c>
    </row>
    <row r="18" spans="1:19" ht="15.75">
      <c r="A18" s="142"/>
      <c r="B18" s="81"/>
      <c r="C18" s="254"/>
      <c r="D18" s="81"/>
      <c r="E18" s="81"/>
      <c r="F18" s="81"/>
      <c r="G18" s="81"/>
      <c r="H18" s="81"/>
      <c r="I18" s="79"/>
      <c r="J18" s="79"/>
      <c r="K18" s="79"/>
      <c r="L18" s="49"/>
      <c r="M18" s="49"/>
      <c r="N18" s="63">
        <v>7</v>
      </c>
      <c r="O18" s="64">
        <v>0</v>
      </c>
      <c r="P18" s="65">
        <f>R7*O18</f>
        <v>0</v>
      </c>
      <c r="Q18" s="63"/>
      <c r="R18" s="64">
        <v>0</v>
      </c>
      <c r="S18" s="65">
        <f>R7*R18</f>
        <v>0</v>
      </c>
    </row>
    <row r="19" spans="1:19" ht="15.75">
      <c r="A19" s="80"/>
      <c r="B19" s="81"/>
      <c r="C19" s="254"/>
      <c r="D19" s="81"/>
      <c r="E19" s="81"/>
      <c r="F19" s="81"/>
      <c r="G19" s="81"/>
      <c r="H19" s="81"/>
      <c r="I19" s="79"/>
      <c r="J19" s="79"/>
      <c r="K19" s="79"/>
      <c r="L19" s="49"/>
      <c r="M19" s="49"/>
      <c r="N19" s="63">
        <v>8</v>
      </c>
      <c r="O19" s="64">
        <v>0</v>
      </c>
      <c r="P19" s="65">
        <f>R7*O19</f>
        <v>0</v>
      </c>
      <c r="Q19" s="63"/>
      <c r="R19" s="64">
        <v>0</v>
      </c>
      <c r="S19" s="65">
        <f>R7*R19</f>
        <v>0</v>
      </c>
    </row>
    <row r="20" spans="1:19" ht="15.75">
      <c r="A20" s="80"/>
      <c r="B20" s="81"/>
      <c r="C20" s="244"/>
      <c r="D20" s="81"/>
      <c r="E20" s="81"/>
      <c r="F20" s="81"/>
      <c r="G20" s="81"/>
      <c r="H20" s="81"/>
      <c r="I20" s="79"/>
      <c r="J20" s="79"/>
      <c r="K20" s="79"/>
      <c r="L20" s="49"/>
      <c r="M20" s="49"/>
      <c r="N20" s="63">
        <v>9</v>
      </c>
      <c r="O20" s="64">
        <v>0</v>
      </c>
      <c r="P20" s="65">
        <f>R7*O20</f>
        <v>0</v>
      </c>
      <c r="Q20" s="63"/>
      <c r="R20" s="64">
        <v>0</v>
      </c>
      <c r="S20" s="65">
        <f>R7*R20</f>
        <v>0</v>
      </c>
    </row>
    <row r="21" spans="1:19" ht="15.75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68" t="s">
        <v>53</v>
      </c>
      <c r="O21" s="64">
        <v>0</v>
      </c>
      <c r="P21" s="65">
        <f>R7*O21</f>
        <v>0</v>
      </c>
      <c r="Q21" s="63"/>
      <c r="R21" s="64"/>
      <c r="S21" s="65">
        <f>R7*R21</f>
        <v>0</v>
      </c>
    </row>
    <row r="22" spans="1:19" ht="15.7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59" t="s">
        <v>59</v>
      </c>
      <c r="O22" s="69">
        <f>P8-O12-O13-O14-O15-O16-O17-O18-O19-O20-O21</f>
        <v>-12.485436893203882</v>
      </c>
      <c r="P22" s="69">
        <f>Q8-P12-P13-P14-P15-P16-P17-P18-P19-P20-P21</f>
        <v>-165.30718446601941</v>
      </c>
      <c r="Q22" s="59" t="s">
        <v>59</v>
      </c>
      <c r="R22" s="69">
        <f>P8-R12-R13-R14-R15-R16-R17-R18-R19-R20-R21</f>
        <v>1.5145631067961176</v>
      </c>
      <c r="S22" s="69">
        <f>Q8-S12-S13-S14-S15-S16-S17-S18-S19-S20-S21</f>
        <v>20.05281553398072</v>
      </c>
    </row>
    <row r="23" spans="1:19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59" t="s">
        <v>60</v>
      </c>
      <c r="O23" s="62">
        <f>O12+O13+O14+O15+O16+O17+O18+O19+O20+O21</f>
        <v>112</v>
      </c>
      <c r="P23" s="62">
        <f>P12+P13+P14+P15+P16+P17+P18+P19+P20+P21</f>
        <v>1482.88</v>
      </c>
      <c r="Q23" s="59" t="s">
        <v>60</v>
      </c>
      <c r="R23" s="62">
        <f>R12+R13+R14+R15+R16+R17+R18+R19+R20+R21</f>
        <v>98</v>
      </c>
      <c r="S23" s="62">
        <f>S12+S13+S14+S15+S16+S17+S18+S19+S20+S21</f>
        <v>1297.52</v>
      </c>
    </row>
    <row r="24" spans="1:19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</row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O5:O6"/>
    <mergeCell ref="N10:P10"/>
    <mergeCell ref="Q10:S10"/>
    <mergeCell ref="Q5:Q6"/>
    <mergeCell ref="R5:R6"/>
    <mergeCell ref="S5:S6"/>
    <mergeCell ref="R7:R8"/>
    <mergeCell ref="S7:S8"/>
    <mergeCell ref="N9:S9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sheetPr codeName="Лист44"/>
  <dimension ref="A1:S1000"/>
  <sheetViews>
    <sheetView workbookViewId="0">
      <selection activeCell="K12" sqref="K12"/>
    </sheetView>
  </sheetViews>
  <sheetFormatPr defaultColWidth="14.42578125" defaultRowHeight="15" customHeight="1"/>
  <cols>
    <col min="1" max="1" width="10.7109375" style="49" customWidth="1"/>
    <col min="2" max="8" width="8.7109375" style="49" customWidth="1"/>
    <col min="9" max="9" width="14" style="49" customWidth="1"/>
    <col min="10" max="10" width="15.5703125" style="49" customWidth="1"/>
    <col min="11" max="11" width="12.85546875" style="49" customWidth="1"/>
    <col min="12" max="13" width="8.7109375" style="49" customWidth="1"/>
    <col min="14" max="14" width="12" style="49" customWidth="1"/>
    <col min="15" max="15" width="11.5703125" style="49" customWidth="1"/>
    <col min="16" max="16" width="13.5703125" style="49" customWidth="1"/>
    <col min="17" max="17" width="12" style="49" customWidth="1"/>
    <col min="18" max="18" width="10.42578125" style="49" customWidth="1"/>
    <col min="19" max="19" width="12.7109375" style="49" customWidth="1"/>
    <col min="20" max="16384" width="14.42578125" style="49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183</v>
      </c>
    </row>
    <row r="3" spans="1:19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9">
      <c r="A4" s="73" t="s">
        <v>66</v>
      </c>
      <c r="B4" s="73" t="s">
        <v>80</v>
      </c>
      <c r="C4" s="510">
        <f>AVERAGEA(I7:I33)</f>
        <v>0.45618214153658893</v>
      </c>
      <c r="D4" s="511"/>
      <c r="E4" s="510">
        <f>AVERAGEA(J7:J33)</f>
        <v>13.959053808973977</v>
      </c>
      <c r="F4" s="511"/>
      <c r="G4" s="510">
        <f>AVERAGEA(K7:K33)</f>
        <v>1.1870700675584427</v>
      </c>
      <c r="H4" s="511"/>
      <c r="I4" s="74">
        <f>C4*K2</f>
        <v>83.481331901195773</v>
      </c>
      <c r="J4" s="74">
        <f>I4*E4</f>
        <v>1165.3204040536075</v>
      </c>
      <c r="K4" s="74">
        <f>K2*G4</f>
        <v>217.233822363195</v>
      </c>
    </row>
    <row r="5" spans="1:19" ht="15" customHeight="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  <c r="N6" s="520"/>
      <c r="O6" s="520"/>
      <c r="P6" s="520"/>
      <c r="Q6" s="520"/>
      <c r="R6" s="520"/>
      <c r="S6" s="520"/>
    </row>
    <row r="7" spans="1:19" ht="15.75">
      <c r="A7" s="77">
        <v>46205</v>
      </c>
      <c r="B7" s="78">
        <v>477</v>
      </c>
      <c r="C7" s="78" t="s">
        <v>104</v>
      </c>
      <c r="D7" s="78">
        <v>312</v>
      </c>
      <c r="E7" s="78">
        <v>53</v>
      </c>
      <c r="F7" s="78">
        <v>155</v>
      </c>
      <c r="G7" s="78">
        <v>2168</v>
      </c>
      <c r="H7" s="78">
        <v>317</v>
      </c>
      <c r="I7" s="79">
        <f t="shared" ref="I7:I10" si="0">F7/(D7+E7)</f>
        <v>0.42465753424657532</v>
      </c>
      <c r="J7" s="79">
        <f t="shared" ref="J7:J10" si="1">G7/F7</f>
        <v>13.987096774193548</v>
      </c>
      <c r="K7" s="79">
        <f t="shared" ref="K7:K10" si="2">H7/(D7+E7)</f>
        <v>0.86849315068493149</v>
      </c>
      <c r="N7" s="59" t="s">
        <v>49</v>
      </c>
      <c r="O7" s="60">
        <f>K2</f>
        <v>183</v>
      </c>
      <c r="P7" s="61">
        <f>I4</f>
        <v>83.481331901195773</v>
      </c>
      <c r="Q7" s="61">
        <f>J4</f>
        <v>1165.3204040536075</v>
      </c>
      <c r="R7" s="539">
        <f>Q7/P7</f>
        <v>13.959053808973975</v>
      </c>
      <c r="S7" s="539">
        <f>P7/O7</f>
        <v>0.45618214153658893</v>
      </c>
    </row>
    <row r="8" spans="1:19" ht="15.75">
      <c r="A8" s="80">
        <v>46208</v>
      </c>
      <c r="B8" s="206">
        <v>477</v>
      </c>
      <c r="C8" s="426" t="s">
        <v>104</v>
      </c>
      <c r="D8" s="81">
        <v>308</v>
      </c>
      <c r="E8" s="81">
        <v>40</v>
      </c>
      <c r="F8" s="81">
        <v>149</v>
      </c>
      <c r="G8" s="81">
        <v>2100</v>
      </c>
      <c r="H8" s="81">
        <v>368</v>
      </c>
      <c r="I8" s="79">
        <f t="shared" si="0"/>
        <v>0.42816091954022989</v>
      </c>
      <c r="J8" s="79">
        <f t="shared" si="1"/>
        <v>14.093959731543624</v>
      </c>
      <c r="K8" s="79">
        <f t="shared" si="2"/>
        <v>1.0574712643678161</v>
      </c>
      <c r="N8" s="59" t="s">
        <v>50</v>
      </c>
      <c r="O8" s="60">
        <f>O7</f>
        <v>183</v>
      </c>
      <c r="P8" s="62">
        <f>O8*S7</f>
        <v>83.481331901195773</v>
      </c>
      <c r="Q8" s="62">
        <f>P8*R7</f>
        <v>1165.3204040536075</v>
      </c>
      <c r="R8" s="520"/>
      <c r="S8" s="520"/>
    </row>
    <row r="9" spans="1:19">
      <c r="A9" s="343">
        <v>46212</v>
      </c>
      <c r="B9" s="301">
        <v>477</v>
      </c>
      <c r="C9" s="433" t="s">
        <v>104</v>
      </c>
      <c r="D9" s="81">
        <v>316</v>
      </c>
      <c r="E9" s="81">
        <v>44</v>
      </c>
      <c r="F9" s="81">
        <v>180</v>
      </c>
      <c r="G9" s="81">
        <v>2477</v>
      </c>
      <c r="H9" s="81">
        <v>383</v>
      </c>
      <c r="I9" s="79">
        <f t="shared" si="0"/>
        <v>0.5</v>
      </c>
      <c r="J9" s="79">
        <f t="shared" si="1"/>
        <v>13.761111111111111</v>
      </c>
      <c r="K9" s="79">
        <f t="shared" si="2"/>
        <v>1.0638888888888889</v>
      </c>
      <c r="N9" s="521" t="s">
        <v>51</v>
      </c>
      <c r="O9" s="516"/>
      <c r="P9" s="516"/>
      <c r="Q9" s="516"/>
      <c r="R9" s="516"/>
      <c r="S9" s="511"/>
    </row>
    <row r="10" spans="1:19">
      <c r="A10" s="80">
        <v>46215</v>
      </c>
      <c r="B10" s="199">
        <v>477</v>
      </c>
      <c r="C10" s="437" t="s">
        <v>104</v>
      </c>
      <c r="D10" s="81">
        <v>323</v>
      </c>
      <c r="E10" s="81">
        <v>33</v>
      </c>
      <c r="F10" s="81">
        <v>168</v>
      </c>
      <c r="G10" s="81">
        <v>2351</v>
      </c>
      <c r="H10" s="81">
        <v>626</v>
      </c>
      <c r="I10" s="79">
        <f t="shared" si="0"/>
        <v>0.47191011235955055</v>
      </c>
      <c r="J10" s="79">
        <f t="shared" si="1"/>
        <v>13.994047619047619</v>
      </c>
      <c r="K10" s="79">
        <f t="shared" si="2"/>
        <v>1.7584269662921348</v>
      </c>
      <c r="N10" s="521" t="s">
        <v>52</v>
      </c>
      <c r="O10" s="516"/>
      <c r="P10" s="511"/>
      <c r="Q10" s="521" t="s">
        <v>53</v>
      </c>
      <c r="R10" s="516"/>
      <c r="S10" s="511"/>
    </row>
    <row r="11" spans="1:19">
      <c r="A11" s="80"/>
      <c r="B11" s="209"/>
      <c r="C11" s="402"/>
      <c r="D11" s="81"/>
      <c r="E11" s="81"/>
      <c r="F11" s="81"/>
      <c r="G11" s="81"/>
      <c r="H11" s="81"/>
      <c r="I11" s="79"/>
      <c r="J11" s="79"/>
      <c r="K11" s="79"/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.75">
      <c r="A12" s="80"/>
      <c r="B12" s="210"/>
      <c r="C12" s="404"/>
      <c r="D12" s="81"/>
      <c r="E12" s="81"/>
      <c r="F12" s="81"/>
      <c r="G12" s="81"/>
      <c r="H12" s="81"/>
      <c r="I12" s="79"/>
      <c r="J12" s="79"/>
      <c r="K12" s="79"/>
      <c r="N12" s="63">
        <v>1</v>
      </c>
      <c r="O12" s="64">
        <v>35</v>
      </c>
      <c r="P12" s="65">
        <f>O12*R7</f>
        <v>488.56688331408913</v>
      </c>
      <c r="Q12" s="63">
        <v>3</v>
      </c>
      <c r="R12" s="64">
        <v>50</v>
      </c>
      <c r="S12" s="65">
        <f>R12*R7</f>
        <v>697.95269044869872</v>
      </c>
    </row>
    <row r="13" spans="1:19" ht="15.75">
      <c r="A13" s="80"/>
      <c r="B13" s="201"/>
      <c r="C13" s="407"/>
      <c r="D13" s="81"/>
      <c r="E13" s="81"/>
      <c r="F13" s="81"/>
      <c r="G13" s="81"/>
      <c r="H13" s="81"/>
      <c r="I13" s="79"/>
      <c r="J13" s="79"/>
      <c r="K13" s="79"/>
      <c r="N13" s="63">
        <v>2</v>
      </c>
      <c r="O13" s="64">
        <v>35</v>
      </c>
      <c r="P13" s="65">
        <f>O13*R7</f>
        <v>488.56688331408913</v>
      </c>
      <c r="Q13" s="63">
        <v>4</v>
      </c>
      <c r="R13" s="64">
        <v>50</v>
      </c>
      <c r="S13" s="65">
        <f>R7*R13</f>
        <v>697.95269044869872</v>
      </c>
    </row>
    <row r="14" spans="1:19" ht="15.75">
      <c r="A14" s="80"/>
      <c r="B14" s="212"/>
      <c r="C14" s="413"/>
      <c r="D14" s="81"/>
      <c r="E14" s="81"/>
      <c r="F14" s="81"/>
      <c r="G14" s="81"/>
      <c r="H14" s="81"/>
      <c r="I14" s="79"/>
      <c r="J14" s="79"/>
      <c r="K14" s="79"/>
      <c r="N14" s="63">
        <v>3</v>
      </c>
      <c r="O14" s="64">
        <v>35</v>
      </c>
      <c r="P14" s="65">
        <f>R7*O14</f>
        <v>488.56688331408913</v>
      </c>
      <c r="Q14" s="63">
        <v>5</v>
      </c>
      <c r="R14" s="64">
        <v>30</v>
      </c>
      <c r="S14" s="65">
        <f>R14*R7</f>
        <v>418.77161426921924</v>
      </c>
    </row>
    <row r="15" spans="1:19" ht="15.75">
      <c r="A15" s="80"/>
      <c r="B15" s="213"/>
      <c r="C15" s="392"/>
      <c r="D15" s="81"/>
      <c r="E15" s="81"/>
      <c r="F15" s="81"/>
      <c r="G15" s="81"/>
      <c r="H15" s="81"/>
      <c r="I15" s="79"/>
      <c r="J15" s="79"/>
      <c r="K15" s="79"/>
      <c r="N15" s="63">
        <v>4</v>
      </c>
      <c r="O15" s="64">
        <v>35</v>
      </c>
      <c r="P15" s="65">
        <f>R7*O15</f>
        <v>488.56688331408913</v>
      </c>
      <c r="Q15" s="63">
        <v>1</v>
      </c>
      <c r="R15" s="64">
        <v>0</v>
      </c>
      <c r="S15" s="65">
        <f>R7*R15</f>
        <v>0</v>
      </c>
    </row>
    <row r="16" spans="1:19" ht="15.75">
      <c r="A16" s="80"/>
      <c r="B16" s="202"/>
      <c r="C16" s="276"/>
      <c r="D16" s="81"/>
      <c r="E16" s="81"/>
      <c r="F16" s="164"/>
      <c r="G16" s="81"/>
      <c r="H16" s="81"/>
      <c r="I16" s="79"/>
      <c r="J16" s="79"/>
      <c r="K16" s="79"/>
      <c r="N16" s="63">
        <v>5</v>
      </c>
      <c r="O16" s="64">
        <v>0</v>
      </c>
      <c r="P16" s="65">
        <f>R7*O16</f>
        <v>0</v>
      </c>
      <c r="Q16" s="63"/>
      <c r="R16" s="64">
        <v>0</v>
      </c>
      <c r="S16" s="65">
        <f>R7*R16</f>
        <v>0</v>
      </c>
    </row>
    <row r="17" spans="1:19" ht="15.75">
      <c r="A17" s="80"/>
      <c r="B17" s="168"/>
      <c r="C17" s="250"/>
      <c r="D17" s="81"/>
      <c r="E17" s="81"/>
      <c r="F17" s="81"/>
      <c r="G17" s="81"/>
      <c r="H17" s="81"/>
      <c r="I17" s="79"/>
      <c r="J17" s="79"/>
      <c r="K17" s="79"/>
      <c r="N17" s="63">
        <v>6</v>
      </c>
      <c r="O17" s="64">
        <v>0</v>
      </c>
      <c r="P17" s="65">
        <f>R7*O17</f>
        <v>0</v>
      </c>
      <c r="Q17" s="63"/>
      <c r="R17" s="64">
        <v>0</v>
      </c>
      <c r="S17" s="65">
        <f>R7*R17</f>
        <v>0</v>
      </c>
    </row>
    <row r="18" spans="1:19" ht="15.75">
      <c r="A18" s="80"/>
      <c r="B18" s="204"/>
      <c r="C18" s="251"/>
      <c r="D18" s="81"/>
      <c r="E18" s="81"/>
      <c r="F18" s="81"/>
      <c r="G18" s="81"/>
      <c r="H18" s="81"/>
      <c r="I18" s="79"/>
      <c r="J18" s="79"/>
      <c r="K18" s="79"/>
      <c r="N18" s="63">
        <v>7</v>
      </c>
      <c r="O18" s="64">
        <v>0</v>
      </c>
      <c r="P18" s="65">
        <f>R7*O18</f>
        <v>0</v>
      </c>
      <c r="Q18" s="63"/>
      <c r="R18" s="64">
        <v>0</v>
      </c>
      <c r="S18" s="65">
        <f>R7*R18</f>
        <v>0</v>
      </c>
    </row>
    <row r="19" spans="1:19" ht="15.75">
      <c r="A19" s="80"/>
      <c r="B19" s="204"/>
      <c r="C19" s="252"/>
      <c r="D19" s="81"/>
      <c r="E19" s="81"/>
      <c r="F19" s="81"/>
      <c r="G19" s="81"/>
      <c r="H19" s="81"/>
      <c r="I19" s="79"/>
      <c r="J19" s="79"/>
      <c r="K19" s="79"/>
      <c r="N19" s="63">
        <v>8</v>
      </c>
      <c r="O19" s="64">
        <v>0</v>
      </c>
      <c r="P19" s="65">
        <f>R7*O19</f>
        <v>0</v>
      </c>
      <c r="Q19" s="63"/>
      <c r="R19" s="64">
        <v>0</v>
      </c>
      <c r="S19" s="65">
        <f>R7*R19</f>
        <v>0</v>
      </c>
    </row>
    <row r="20" spans="1:19" ht="15.75">
      <c r="A20" s="80"/>
      <c r="B20" s="81"/>
      <c r="C20" s="252"/>
      <c r="D20" s="81"/>
      <c r="E20" s="81"/>
      <c r="F20" s="81"/>
      <c r="G20" s="81"/>
      <c r="H20" s="81"/>
      <c r="I20" s="79"/>
      <c r="J20" s="79"/>
      <c r="K20" s="79"/>
      <c r="N20" s="63">
        <v>9</v>
      </c>
      <c r="O20" s="64">
        <v>0</v>
      </c>
      <c r="P20" s="65">
        <f>R7*O20</f>
        <v>0</v>
      </c>
      <c r="Q20" s="63"/>
      <c r="R20" s="64">
        <v>0</v>
      </c>
      <c r="S20" s="65">
        <f>R7*R20</f>
        <v>0</v>
      </c>
    </row>
    <row r="21" spans="1:19" ht="15.75" customHeight="1">
      <c r="A21" s="80"/>
      <c r="B21" s="81"/>
      <c r="C21" s="253"/>
      <c r="D21" s="81"/>
      <c r="E21" s="81"/>
      <c r="F21" s="81"/>
      <c r="G21" s="81"/>
      <c r="H21" s="81"/>
      <c r="I21" s="79"/>
      <c r="J21" s="79"/>
      <c r="K21" s="79"/>
      <c r="N21" s="68" t="s">
        <v>53</v>
      </c>
      <c r="O21" s="64">
        <v>0</v>
      </c>
      <c r="P21" s="65">
        <f>R7*O21</f>
        <v>0</v>
      </c>
      <c r="Q21" s="63"/>
      <c r="R21" s="64"/>
      <c r="S21" s="65">
        <f>R7*R21</f>
        <v>0</v>
      </c>
    </row>
    <row r="22" spans="1:19" ht="15.75" customHeight="1">
      <c r="A22" s="80"/>
      <c r="B22" s="81"/>
      <c r="C22" s="254"/>
      <c r="D22" s="81"/>
      <c r="E22" s="81"/>
      <c r="F22" s="81"/>
      <c r="G22" s="81"/>
      <c r="H22" s="81"/>
      <c r="I22" s="79"/>
      <c r="J22" s="79"/>
      <c r="K22" s="79"/>
      <c r="N22" s="59" t="s">
        <v>59</v>
      </c>
      <c r="O22" s="69">
        <f>P8-O12-O13-O14-O15-O16-O17-O18-O19-O20-O21</f>
        <v>-56.518668098804227</v>
      </c>
      <c r="P22" s="69">
        <f>Q8-P12-P13-P14-P15-P16-P17-P18-P19-P20-P21</f>
        <v>-788.94712920274901</v>
      </c>
      <c r="Q22" s="59" t="s">
        <v>59</v>
      </c>
      <c r="R22" s="69">
        <f>P8-R12-R13-R14-R15-R16-R17-R18-R19-R20-R21</f>
        <v>-46.518668098804227</v>
      </c>
      <c r="S22" s="69">
        <f>Q8-S12-S13-S14-S15-S16-S17-S18-S19-S20-S21</f>
        <v>-649.35659111300924</v>
      </c>
    </row>
    <row r="23" spans="1:19" ht="15.75" customHeight="1">
      <c r="A23" s="80"/>
      <c r="B23" s="156"/>
      <c r="C23" s="255"/>
      <c r="D23" s="81"/>
      <c r="E23" s="81"/>
      <c r="F23" s="81"/>
      <c r="G23" s="81"/>
      <c r="H23" s="81"/>
      <c r="I23" s="79"/>
      <c r="J23" s="79"/>
      <c r="K23" s="79"/>
      <c r="N23" s="59" t="s">
        <v>60</v>
      </c>
      <c r="O23" s="62">
        <f>O12+O13+O14+O15+O16+O17+O18+O19+O20+O21</f>
        <v>140</v>
      </c>
      <c r="P23" s="62">
        <f>P12+P13+P14+P15+P16+P17+P18+P19+P20+P21</f>
        <v>1954.2675332563565</v>
      </c>
      <c r="Q23" s="59" t="s">
        <v>60</v>
      </c>
      <c r="R23" s="62">
        <f>R12+R13+R14+R15+R16+R17+R18+R19+R20+R21</f>
        <v>130</v>
      </c>
      <c r="S23" s="62">
        <f>S12+S13+S14+S15+S16+S17+S18+S19+S20+S21</f>
        <v>1814.6769951666167</v>
      </c>
    </row>
    <row r="24" spans="1:19" ht="15.75" customHeight="1">
      <c r="A24" s="80"/>
      <c r="B24" s="157"/>
      <c r="C24" s="245"/>
      <c r="D24" s="81"/>
      <c r="E24" s="81"/>
      <c r="F24" s="81"/>
      <c r="G24" s="81"/>
      <c r="H24" s="81"/>
      <c r="I24" s="79"/>
      <c r="J24" s="79"/>
      <c r="K24" s="79"/>
    </row>
    <row r="25" spans="1:19" ht="15.75" customHeight="1">
      <c r="A25" s="80"/>
      <c r="B25" s="81"/>
      <c r="C25" s="157"/>
      <c r="D25" s="81"/>
      <c r="E25" s="81"/>
      <c r="F25" s="81"/>
      <c r="G25" s="81"/>
      <c r="H25" s="81"/>
      <c r="I25" s="79"/>
      <c r="J25" s="79"/>
      <c r="K25" s="79"/>
    </row>
    <row r="26" spans="1:19" ht="15.75" customHeight="1">
      <c r="A26" s="80"/>
      <c r="B26" s="158"/>
      <c r="C26" s="158"/>
      <c r="D26" s="81"/>
      <c r="E26" s="81"/>
      <c r="F26" s="81"/>
      <c r="G26" s="81"/>
      <c r="H26" s="81"/>
      <c r="I26" s="79"/>
      <c r="J26" s="79"/>
      <c r="K26" s="79"/>
    </row>
    <row r="27" spans="1:19" ht="15.75" customHeight="1">
      <c r="A27" s="80"/>
      <c r="B27" s="158"/>
      <c r="C27" s="158"/>
      <c r="D27" s="81"/>
      <c r="E27" s="81"/>
      <c r="F27" s="81"/>
      <c r="G27" s="81"/>
      <c r="H27" s="81"/>
      <c r="I27" s="79"/>
      <c r="J27" s="79"/>
      <c r="K27" s="79"/>
    </row>
    <row r="28" spans="1:19" ht="15.75" customHeight="1">
      <c r="A28" s="80"/>
      <c r="B28" s="81"/>
      <c r="C28" s="151"/>
      <c r="D28" s="81"/>
      <c r="E28" s="81"/>
      <c r="F28" s="81"/>
      <c r="G28" s="81"/>
      <c r="H28" s="81"/>
      <c r="I28" s="79"/>
      <c r="J28" s="79"/>
      <c r="K28" s="79"/>
    </row>
    <row r="29" spans="1:19" ht="15.75" customHeight="1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</row>
    <row r="30" spans="1:19" ht="15.75" customHeight="1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</row>
    <row r="31" spans="1:19" ht="15.75" customHeight="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</row>
    <row r="32" spans="1:19" ht="15.75" customHeight="1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</row>
    <row r="33" spans="1:11" ht="15.75" customHeight="1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</row>
    <row r="34" spans="1:11" ht="15.75" customHeight="1"/>
    <row r="35" spans="1:11" ht="15.75" customHeight="1"/>
    <row r="36" spans="1:11" ht="15.75" customHeight="1"/>
    <row r="37" spans="1:11" ht="15.75" customHeight="1"/>
    <row r="38" spans="1:11" ht="15.75" customHeight="1"/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67"/>
      <c r="O55" s="67"/>
      <c r="P55" s="67"/>
      <c r="Q55" s="67"/>
      <c r="R55" s="67"/>
      <c r="S55" s="67"/>
    </row>
    <row r="56" spans="14:19" ht="15.75" customHeight="1">
      <c r="N56" s="72"/>
      <c r="O56" s="72"/>
      <c r="P56" s="72"/>
      <c r="Q56" s="72"/>
      <c r="R56" s="72"/>
      <c r="S56" s="7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72.xml><?xml version="1.0" encoding="utf-8"?>
<worksheet xmlns="http://schemas.openxmlformats.org/spreadsheetml/2006/main" xmlns:r="http://schemas.openxmlformats.org/officeDocument/2006/relationships">
  <sheetPr codeName="Лист45"/>
  <dimension ref="A1:S1000"/>
  <sheetViews>
    <sheetView workbookViewId="0">
      <selection activeCell="K9" sqref="K9:K10"/>
    </sheetView>
  </sheetViews>
  <sheetFormatPr defaultColWidth="14.42578125" defaultRowHeight="15" customHeight="1"/>
  <cols>
    <col min="1" max="1" width="10.7109375" style="49" customWidth="1"/>
    <col min="2" max="8" width="8.7109375" style="49" customWidth="1"/>
    <col min="9" max="9" width="14" style="49" customWidth="1"/>
    <col min="10" max="10" width="15.5703125" style="49" customWidth="1"/>
    <col min="11" max="11" width="12.85546875" style="49" customWidth="1"/>
    <col min="12" max="13" width="8.7109375" style="49" customWidth="1"/>
    <col min="14" max="14" width="12" style="49" customWidth="1"/>
    <col min="15" max="15" width="11.5703125" style="49" customWidth="1"/>
    <col min="16" max="16" width="13.5703125" style="49" customWidth="1"/>
    <col min="17" max="17" width="12" style="49" customWidth="1"/>
    <col min="18" max="18" width="10.42578125" style="49" customWidth="1"/>
    <col min="19" max="19" width="12.7109375" style="49" customWidth="1"/>
    <col min="20" max="16384" width="14.42578125" style="49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101</v>
      </c>
    </row>
    <row r="3" spans="1:19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9">
      <c r="A4" s="73" t="s">
        <v>66</v>
      </c>
      <c r="B4" s="73" t="s">
        <v>98</v>
      </c>
      <c r="C4" s="510">
        <f>AVERAGEA(I7:I37)</f>
        <v>0.41676242446598832</v>
      </c>
      <c r="D4" s="511"/>
      <c r="E4" s="510">
        <f>AVERAGEA(J7:J37)</f>
        <v>14.215893243854264</v>
      </c>
      <c r="F4" s="511"/>
      <c r="G4" s="510">
        <f>AVERAGEA(K7:K37)</f>
        <v>1.2650080942449065</v>
      </c>
      <c r="H4" s="511"/>
      <c r="I4" s="74">
        <f>C4*K2</f>
        <v>42.093004871064821</v>
      </c>
      <c r="J4" s="74">
        <f>I4*E4</f>
        <v>598.38966356009507</v>
      </c>
      <c r="K4" s="74">
        <f>K2*G4</f>
        <v>127.76581751873555</v>
      </c>
    </row>
    <row r="5" spans="1:19" ht="15" customHeight="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  <c r="N6" s="520"/>
      <c r="O6" s="520"/>
      <c r="P6" s="520"/>
      <c r="Q6" s="520"/>
      <c r="R6" s="520"/>
      <c r="S6" s="520"/>
    </row>
    <row r="7" spans="1:19" ht="15.75">
      <c r="A7" s="77">
        <v>46206</v>
      </c>
      <c r="B7" s="78" t="s">
        <v>146</v>
      </c>
      <c r="C7" s="78" t="s">
        <v>73</v>
      </c>
      <c r="D7" s="78">
        <v>151</v>
      </c>
      <c r="E7" s="78">
        <v>30</v>
      </c>
      <c r="F7" s="78">
        <v>87</v>
      </c>
      <c r="G7" s="78">
        <v>1289</v>
      </c>
      <c r="H7" s="78">
        <v>218</v>
      </c>
      <c r="I7" s="79">
        <f t="shared" ref="I7:I10" si="0">F7/(D7+E7)</f>
        <v>0.48066298342541436</v>
      </c>
      <c r="J7" s="79">
        <f t="shared" ref="J7:J10" si="1">G7/F7</f>
        <v>14.816091954022989</v>
      </c>
      <c r="K7" s="79">
        <f t="shared" ref="K7:K10" si="2">H7/(D7+E7)</f>
        <v>1.2044198895027625</v>
      </c>
      <c r="N7" s="59" t="s">
        <v>49</v>
      </c>
      <c r="O7" s="60">
        <f>K2</f>
        <v>101</v>
      </c>
      <c r="P7" s="61">
        <f>I4</f>
        <v>42.093004871064821</v>
      </c>
      <c r="Q7" s="61">
        <f>J4</f>
        <v>598.38966356009507</v>
      </c>
      <c r="R7" s="539">
        <f>Q7/P7</f>
        <v>14.215893243854266</v>
      </c>
      <c r="S7" s="539">
        <f>P7/O7</f>
        <v>0.41676242446598832</v>
      </c>
    </row>
    <row r="8" spans="1:19" ht="15.75">
      <c r="A8" s="80">
        <v>46209</v>
      </c>
      <c r="B8" s="426" t="s">
        <v>146</v>
      </c>
      <c r="C8" s="426" t="s">
        <v>73</v>
      </c>
      <c r="D8" s="81">
        <v>147</v>
      </c>
      <c r="E8" s="81">
        <v>32</v>
      </c>
      <c r="F8" s="81">
        <v>69</v>
      </c>
      <c r="G8" s="81">
        <v>973</v>
      </c>
      <c r="H8" s="81">
        <v>223</v>
      </c>
      <c r="I8" s="79">
        <f t="shared" si="0"/>
        <v>0.38547486033519551</v>
      </c>
      <c r="J8" s="79">
        <f t="shared" si="1"/>
        <v>14.101449275362318</v>
      </c>
      <c r="K8" s="79">
        <f t="shared" si="2"/>
        <v>1.2458100558659218</v>
      </c>
      <c r="N8" s="59" t="s">
        <v>50</v>
      </c>
      <c r="O8" s="60">
        <f>O7</f>
        <v>101</v>
      </c>
      <c r="P8" s="62">
        <f>O8*S7</f>
        <v>42.093004871064821</v>
      </c>
      <c r="Q8" s="62">
        <f>P8*R7</f>
        <v>598.38966356009507</v>
      </c>
      <c r="R8" s="520"/>
      <c r="S8" s="520"/>
    </row>
    <row r="9" spans="1:19">
      <c r="A9" s="80">
        <v>46213</v>
      </c>
      <c r="B9" s="433" t="s">
        <v>146</v>
      </c>
      <c r="C9" s="433" t="s">
        <v>73</v>
      </c>
      <c r="D9" s="81">
        <v>159</v>
      </c>
      <c r="E9" s="81">
        <v>29</v>
      </c>
      <c r="F9" s="81">
        <v>70</v>
      </c>
      <c r="G9" s="81">
        <v>949</v>
      </c>
      <c r="H9" s="81">
        <v>165</v>
      </c>
      <c r="I9" s="79">
        <f t="shared" si="0"/>
        <v>0.37234042553191488</v>
      </c>
      <c r="J9" s="79">
        <f t="shared" si="1"/>
        <v>13.557142857142857</v>
      </c>
      <c r="K9" s="79">
        <f t="shared" si="2"/>
        <v>0.87765957446808507</v>
      </c>
      <c r="N9" s="521" t="s">
        <v>51</v>
      </c>
      <c r="O9" s="516"/>
      <c r="P9" s="516"/>
      <c r="Q9" s="516"/>
      <c r="R9" s="516"/>
      <c r="S9" s="511"/>
    </row>
    <row r="10" spans="1:19">
      <c r="A10" s="80">
        <v>46216</v>
      </c>
      <c r="B10" s="440" t="s">
        <v>146</v>
      </c>
      <c r="C10" s="440" t="s">
        <v>73</v>
      </c>
      <c r="D10" s="81">
        <v>148</v>
      </c>
      <c r="E10" s="81">
        <v>20</v>
      </c>
      <c r="F10" s="81">
        <v>72</v>
      </c>
      <c r="G10" s="81">
        <v>1036</v>
      </c>
      <c r="H10" s="81">
        <v>291</v>
      </c>
      <c r="I10" s="79">
        <f t="shared" si="0"/>
        <v>0.42857142857142855</v>
      </c>
      <c r="J10" s="79">
        <f t="shared" si="1"/>
        <v>14.388888888888889</v>
      </c>
      <c r="K10" s="79">
        <f t="shared" si="2"/>
        <v>1.7321428571428572</v>
      </c>
      <c r="N10" s="521" t="s">
        <v>52</v>
      </c>
      <c r="O10" s="516"/>
      <c r="P10" s="511"/>
      <c r="Q10" s="521" t="s">
        <v>53</v>
      </c>
      <c r="R10" s="516"/>
      <c r="S10" s="511"/>
    </row>
    <row r="11" spans="1:19">
      <c r="A11" s="188"/>
      <c r="B11" s="402"/>
      <c r="C11" s="402"/>
      <c r="D11" s="81"/>
      <c r="E11" s="81"/>
      <c r="F11" s="81"/>
      <c r="G11" s="81"/>
      <c r="H11" s="81"/>
      <c r="I11" s="79"/>
      <c r="J11" s="79"/>
      <c r="K11" s="79"/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.75">
      <c r="A12" s="80"/>
      <c r="B12" s="404"/>
      <c r="C12" s="404"/>
      <c r="D12" s="81"/>
      <c r="E12" s="81"/>
      <c r="F12" s="81"/>
      <c r="G12" s="81"/>
      <c r="H12" s="81"/>
      <c r="I12" s="79"/>
      <c r="J12" s="79"/>
      <c r="K12" s="79"/>
      <c r="N12" s="63">
        <v>1</v>
      </c>
      <c r="O12" s="64">
        <v>0</v>
      </c>
      <c r="P12" s="65">
        <f>O12*R7</f>
        <v>0</v>
      </c>
      <c r="Q12" s="63">
        <v>3</v>
      </c>
      <c r="R12" s="64">
        <v>50</v>
      </c>
      <c r="S12" s="65">
        <f>R12*R7</f>
        <v>710.7946621927133</v>
      </c>
    </row>
    <row r="13" spans="1:19" ht="15.75">
      <c r="A13" s="80"/>
      <c r="B13" s="407"/>
      <c r="C13" s="407"/>
      <c r="D13" s="81"/>
      <c r="E13" s="81"/>
      <c r="F13" s="81"/>
      <c r="G13" s="81"/>
      <c r="H13" s="81"/>
      <c r="I13" s="79"/>
      <c r="J13" s="79"/>
      <c r="K13" s="79"/>
      <c r="N13" s="63">
        <v>2</v>
      </c>
      <c r="O13" s="64">
        <v>0</v>
      </c>
      <c r="P13" s="65">
        <f>O13*R7</f>
        <v>0</v>
      </c>
      <c r="Q13" s="63">
        <v>4</v>
      </c>
      <c r="R13" s="64">
        <v>30</v>
      </c>
      <c r="S13" s="65">
        <f>R7*R13</f>
        <v>426.476797315628</v>
      </c>
    </row>
    <row r="14" spans="1:19" ht="15.75">
      <c r="A14" s="180"/>
      <c r="B14" s="407"/>
      <c r="C14" s="407"/>
      <c r="D14" s="81"/>
      <c r="E14" s="81"/>
      <c r="F14" s="81"/>
      <c r="G14" s="81"/>
      <c r="H14" s="81"/>
      <c r="I14" s="79"/>
      <c r="J14" s="79"/>
      <c r="K14" s="79"/>
      <c r="N14" s="63">
        <v>3</v>
      </c>
      <c r="O14" s="64">
        <v>0</v>
      </c>
      <c r="P14" s="65">
        <f>R7*O14</f>
        <v>0</v>
      </c>
      <c r="Q14" s="63">
        <v>5</v>
      </c>
      <c r="R14" s="64">
        <v>0</v>
      </c>
      <c r="S14" s="65">
        <f>R14*R7</f>
        <v>0</v>
      </c>
    </row>
    <row r="15" spans="1:19" ht="15.75">
      <c r="A15" s="80"/>
      <c r="B15" s="413"/>
      <c r="C15" s="413"/>
      <c r="D15" s="81"/>
      <c r="E15" s="81"/>
      <c r="F15" s="81"/>
      <c r="G15" s="81"/>
      <c r="H15" s="81"/>
      <c r="I15" s="79"/>
      <c r="J15" s="79"/>
      <c r="K15" s="79"/>
      <c r="N15" s="63">
        <v>4</v>
      </c>
      <c r="O15" s="64">
        <v>0</v>
      </c>
      <c r="P15" s="65">
        <f>R7*O15</f>
        <v>0</v>
      </c>
      <c r="Q15" s="63">
        <v>1</v>
      </c>
      <c r="R15" s="64">
        <v>0</v>
      </c>
      <c r="S15" s="65">
        <f>R7*R15</f>
        <v>0</v>
      </c>
    </row>
    <row r="16" spans="1:19" ht="15.75">
      <c r="A16" s="80"/>
      <c r="B16" s="274"/>
      <c r="C16" s="274"/>
      <c r="D16" s="81"/>
      <c r="E16" s="81"/>
      <c r="F16" s="81"/>
      <c r="G16" s="81"/>
      <c r="H16" s="81"/>
      <c r="I16" s="79"/>
      <c r="J16" s="79"/>
      <c r="K16" s="79"/>
      <c r="N16" s="63">
        <v>5</v>
      </c>
      <c r="O16" s="64">
        <v>0</v>
      </c>
      <c r="P16" s="65">
        <f>R7*O16</f>
        <v>0</v>
      </c>
      <c r="Q16" s="63"/>
      <c r="R16" s="64">
        <v>0</v>
      </c>
      <c r="S16" s="65">
        <f>R7*R16</f>
        <v>0</v>
      </c>
    </row>
    <row r="17" spans="1:19" ht="15.75">
      <c r="A17" s="80"/>
      <c r="B17" s="250"/>
      <c r="C17" s="250"/>
      <c r="D17" s="81"/>
      <c r="E17" s="81"/>
      <c r="F17" s="81"/>
      <c r="G17" s="81"/>
      <c r="H17" s="81"/>
      <c r="I17" s="79"/>
      <c r="J17" s="79"/>
      <c r="K17" s="79"/>
      <c r="N17" s="63">
        <v>6</v>
      </c>
      <c r="O17" s="64">
        <v>0</v>
      </c>
      <c r="P17" s="65">
        <f>R7*O17</f>
        <v>0</v>
      </c>
      <c r="Q17" s="63"/>
      <c r="R17" s="64">
        <v>0</v>
      </c>
      <c r="S17" s="65">
        <f>R7*R17</f>
        <v>0</v>
      </c>
    </row>
    <row r="18" spans="1:19" ht="15.75">
      <c r="A18" s="80"/>
      <c r="B18" s="251"/>
      <c r="C18" s="251"/>
      <c r="D18" s="81"/>
      <c r="E18" s="81"/>
      <c r="F18" s="81"/>
      <c r="G18" s="81"/>
      <c r="H18" s="81"/>
      <c r="I18" s="79"/>
      <c r="J18" s="79"/>
      <c r="K18" s="79"/>
      <c r="N18" s="63">
        <v>7</v>
      </c>
      <c r="O18" s="64">
        <v>0</v>
      </c>
      <c r="P18" s="65">
        <f>R7*O18</f>
        <v>0</v>
      </c>
      <c r="Q18" s="63"/>
      <c r="R18" s="64">
        <v>0</v>
      </c>
      <c r="S18" s="65">
        <f>R7*R18</f>
        <v>0</v>
      </c>
    </row>
    <row r="19" spans="1:19" ht="15.75">
      <c r="A19" s="80"/>
      <c r="B19" s="252"/>
      <c r="C19" s="252"/>
      <c r="D19" s="81"/>
      <c r="E19" s="81"/>
      <c r="F19" s="81"/>
      <c r="G19" s="81"/>
      <c r="H19" s="81"/>
      <c r="I19" s="79"/>
      <c r="J19" s="79"/>
      <c r="K19" s="79"/>
      <c r="N19" s="63">
        <v>8</v>
      </c>
      <c r="O19" s="64">
        <v>0</v>
      </c>
      <c r="P19" s="65">
        <f>R7*O19</f>
        <v>0</v>
      </c>
      <c r="Q19" s="63"/>
      <c r="R19" s="64">
        <v>0</v>
      </c>
      <c r="S19" s="65">
        <f>R7*R19</f>
        <v>0</v>
      </c>
    </row>
    <row r="20" spans="1:19" ht="15.75">
      <c r="A20" s="80"/>
      <c r="B20" s="252"/>
      <c r="C20" s="252"/>
      <c r="D20" s="81"/>
      <c r="E20" s="81"/>
      <c r="F20" s="81"/>
      <c r="G20" s="81"/>
      <c r="H20" s="81"/>
      <c r="I20" s="79"/>
      <c r="J20" s="79"/>
      <c r="K20" s="79"/>
      <c r="N20" s="63">
        <v>9</v>
      </c>
      <c r="O20" s="64">
        <v>0</v>
      </c>
      <c r="P20" s="65">
        <f>R7*O20</f>
        <v>0</v>
      </c>
      <c r="Q20" s="63"/>
      <c r="R20" s="64">
        <v>0</v>
      </c>
      <c r="S20" s="65">
        <f>R7*R20</f>
        <v>0</v>
      </c>
    </row>
    <row r="21" spans="1:19" ht="15.75" customHeight="1">
      <c r="A21" s="80"/>
      <c r="B21" s="253"/>
      <c r="C21" s="253"/>
      <c r="D21" s="81"/>
      <c r="E21" s="81"/>
      <c r="F21" s="81"/>
      <c r="G21" s="81"/>
      <c r="H21" s="81"/>
      <c r="I21" s="79"/>
      <c r="J21" s="79"/>
      <c r="K21" s="79"/>
      <c r="N21" s="68" t="s">
        <v>53</v>
      </c>
      <c r="O21" s="64">
        <v>0</v>
      </c>
      <c r="P21" s="65">
        <f>R7*O21</f>
        <v>0</v>
      </c>
      <c r="Q21" s="63"/>
      <c r="R21" s="64"/>
      <c r="S21" s="65">
        <f>R7*R21</f>
        <v>0</v>
      </c>
    </row>
    <row r="22" spans="1:19" ht="15.75" customHeight="1">
      <c r="A22" s="80"/>
      <c r="B22" s="255"/>
      <c r="C22" s="255"/>
      <c r="D22" s="81"/>
      <c r="E22" s="81"/>
      <c r="F22" s="81"/>
      <c r="G22" s="81"/>
      <c r="H22" s="81"/>
      <c r="I22" s="79"/>
      <c r="J22" s="79"/>
      <c r="K22" s="79"/>
      <c r="N22" s="59" t="s">
        <v>59</v>
      </c>
      <c r="O22" s="69">
        <f>P8-O12-O13-O14-O15-O16-O17-O18-O19-O20-O21</f>
        <v>42.093004871064821</v>
      </c>
      <c r="P22" s="69">
        <f>Q8-P12-P13-P14-P15-P16-P17-P18-P19-P20-P21</f>
        <v>598.38966356009507</v>
      </c>
      <c r="Q22" s="59" t="s">
        <v>59</v>
      </c>
      <c r="R22" s="69">
        <f>P8-R12-R13-R14-R15-R16-R17-R18-R19-R20-R21</f>
        <v>-37.906995128935179</v>
      </c>
      <c r="S22" s="69">
        <f>Q8-S12-S13-S14-S15-S16-S17-S18-S19-S20-S21</f>
        <v>-538.88179594824624</v>
      </c>
    </row>
    <row r="23" spans="1:19" ht="15.75" customHeight="1">
      <c r="A23" s="80"/>
      <c r="B23" s="241"/>
      <c r="C23" s="241"/>
      <c r="D23" s="81"/>
      <c r="E23" s="81"/>
      <c r="F23" s="81"/>
      <c r="G23" s="81"/>
      <c r="H23" s="81"/>
      <c r="I23" s="79"/>
      <c r="J23" s="79"/>
      <c r="K23" s="79"/>
      <c r="N23" s="59" t="s">
        <v>60</v>
      </c>
      <c r="O23" s="62">
        <f>O12+O13+O14+O15+O16+O17+O18+O19+O20+O21</f>
        <v>0</v>
      </c>
      <c r="P23" s="62">
        <f>P12+P13+P14+P15+P16+P17+P18+P19+P20+P21</f>
        <v>0</v>
      </c>
      <c r="Q23" s="59" t="s">
        <v>60</v>
      </c>
      <c r="R23" s="62">
        <f>R12+R13+R14+R15+R16+R17+R18+R19+R20+R21</f>
        <v>80</v>
      </c>
      <c r="S23" s="62">
        <f>S12+S13+S14+S15+S16+S17+S18+S19+S20+S21</f>
        <v>1137.2714595083412</v>
      </c>
    </row>
    <row r="24" spans="1:19" ht="15.75" customHeight="1">
      <c r="A24" s="80"/>
      <c r="B24" s="229"/>
      <c r="C24" s="229"/>
      <c r="D24" s="81"/>
      <c r="E24" s="81"/>
      <c r="F24" s="81"/>
      <c r="G24" s="81"/>
      <c r="H24" s="81"/>
      <c r="I24" s="79"/>
      <c r="J24" s="79"/>
      <c r="K24" s="79"/>
    </row>
    <row r="25" spans="1:19" ht="15.75" customHeight="1">
      <c r="A25" s="80"/>
      <c r="B25" s="230"/>
      <c r="C25" s="230"/>
      <c r="D25" s="81"/>
      <c r="E25" s="81"/>
      <c r="F25" s="81"/>
      <c r="G25" s="81"/>
      <c r="H25" s="81"/>
      <c r="I25" s="79"/>
      <c r="J25" s="79"/>
      <c r="K25" s="79"/>
    </row>
    <row r="26" spans="1:19" ht="15.75" customHeight="1"/>
    <row r="27" spans="1:19" ht="15.75" customHeight="1"/>
    <row r="28" spans="1:19" ht="15.75" customHeight="1"/>
    <row r="29" spans="1:19" ht="15.75" customHeight="1"/>
    <row r="30" spans="1:19" ht="15.75" customHeight="1"/>
    <row r="31" spans="1:19" ht="15.75" customHeight="1"/>
    <row r="32" spans="1:1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67"/>
      <c r="O55" s="67"/>
      <c r="P55" s="67"/>
      <c r="Q55" s="67"/>
      <c r="R55" s="67"/>
      <c r="S55" s="67"/>
    </row>
    <row r="56" spans="14:19" ht="15.75" customHeight="1">
      <c r="N56" s="72"/>
      <c r="O56" s="72"/>
      <c r="P56" s="72"/>
      <c r="Q56" s="72"/>
      <c r="R56" s="72"/>
      <c r="S56" s="7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73.xml><?xml version="1.0" encoding="utf-8"?>
<worksheet xmlns="http://schemas.openxmlformats.org/spreadsheetml/2006/main" xmlns:r="http://schemas.openxmlformats.org/officeDocument/2006/relationships">
  <sheetPr codeName="Лист46"/>
  <dimension ref="A1:S1000"/>
  <sheetViews>
    <sheetView workbookViewId="0">
      <selection activeCell="B14" sqref="B14"/>
    </sheetView>
  </sheetViews>
  <sheetFormatPr defaultColWidth="14.42578125" defaultRowHeight="15" customHeight="1"/>
  <cols>
    <col min="1" max="1" width="10.5703125" style="49" customWidth="1"/>
    <col min="2" max="8" width="8.7109375" style="49" customWidth="1"/>
    <col min="9" max="9" width="14" style="49" customWidth="1"/>
    <col min="10" max="10" width="15.5703125" style="49" customWidth="1"/>
    <col min="11" max="11" width="12.85546875" style="49" customWidth="1"/>
    <col min="12" max="13" width="8.7109375" style="49" customWidth="1"/>
    <col min="14" max="14" width="12" style="49" customWidth="1"/>
    <col min="15" max="15" width="11.5703125" style="49" customWidth="1"/>
    <col min="16" max="16" width="13.5703125" style="49" customWidth="1"/>
    <col min="17" max="17" width="12" style="49" customWidth="1"/>
    <col min="18" max="18" width="10.42578125" style="49" customWidth="1"/>
    <col min="19" max="19" width="12.7109375" style="49" customWidth="1"/>
    <col min="20" max="16384" width="14.42578125" style="49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160</v>
      </c>
    </row>
    <row r="3" spans="1:19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9">
      <c r="A4" s="73" t="s">
        <v>66</v>
      </c>
      <c r="B4" s="73" t="s">
        <v>33</v>
      </c>
      <c r="C4" s="510">
        <f>AVERAGEA(I7:I40)</f>
        <v>0.43516084978144526</v>
      </c>
      <c r="D4" s="511"/>
      <c r="E4" s="510">
        <f>AVERAGEA(J7:J40)</f>
        <v>13.659474707626881</v>
      </c>
      <c r="F4" s="511"/>
      <c r="G4" s="510">
        <f>AVERAGEA(K7:K40)</f>
        <v>1.9859684950501779</v>
      </c>
      <c r="H4" s="511"/>
      <c r="I4" s="74">
        <f>C4*K2</f>
        <v>69.62573596503124</v>
      </c>
      <c r="J4" s="74">
        <f>I4*E4</f>
        <v>951.05097941425151</v>
      </c>
      <c r="K4" s="74">
        <f>K2*G4</f>
        <v>317.75495920802848</v>
      </c>
    </row>
    <row r="5" spans="1:19" ht="15" customHeight="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  <c r="N6" s="520"/>
      <c r="O6" s="520"/>
      <c r="P6" s="520"/>
      <c r="Q6" s="520"/>
      <c r="R6" s="520"/>
      <c r="S6" s="520"/>
    </row>
    <row r="7" spans="1:19" ht="15.75">
      <c r="A7" s="77">
        <v>46204</v>
      </c>
      <c r="B7" s="78">
        <v>491</v>
      </c>
      <c r="C7" s="78" t="s">
        <v>62</v>
      </c>
      <c r="D7" s="78">
        <v>151</v>
      </c>
      <c r="E7" s="78">
        <v>27</v>
      </c>
      <c r="F7" s="78">
        <v>70</v>
      </c>
      <c r="G7" s="78">
        <v>1041</v>
      </c>
      <c r="H7" s="78">
        <v>320</v>
      </c>
      <c r="I7" s="79">
        <f t="shared" ref="I7:I11" si="0">F7/(D7+E7)</f>
        <v>0.39325842696629215</v>
      </c>
      <c r="J7" s="79">
        <f t="shared" ref="J7:J11" si="1">G7/F7</f>
        <v>14.871428571428572</v>
      </c>
      <c r="K7" s="79">
        <f t="shared" ref="K7:K11" si="2">H7/(D7+E7)</f>
        <v>1.797752808988764</v>
      </c>
      <c r="N7" s="59" t="s">
        <v>49</v>
      </c>
      <c r="O7" s="60">
        <f>K2</f>
        <v>160</v>
      </c>
      <c r="P7" s="61">
        <f>I4</f>
        <v>69.62573596503124</v>
      </c>
      <c r="Q7" s="61">
        <f>J4</f>
        <v>951.05097941425151</v>
      </c>
      <c r="R7" s="539">
        <f>Q7/P7</f>
        <v>13.659474707626881</v>
      </c>
      <c r="S7" s="539">
        <f>P7/O7</f>
        <v>0.43516084978144526</v>
      </c>
    </row>
    <row r="8" spans="1:19" ht="15.75">
      <c r="A8" s="80">
        <v>46207</v>
      </c>
      <c r="B8" s="81">
        <v>491</v>
      </c>
      <c r="C8" s="423" t="s">
        <v>62</v>
      </c>
      <c r="D8" s="81">
        <v>134</v>
      </c>
      <c r="E8" s="81">
        <v>18</v>
      </c>
      <c r="F8" s="81">
        <v>69</v>
      </c>
      <c r="G8" s="81">
        <v>922</v>
      </c>
      <c r="H8" s="81">
        <v>438</v>
      </c>
      <c r="I8" s="79">
        <f t="shared" si="0"/>
        <v>0.45394736842105265</v>
      </c>
      <c r="J8" s="79">
        <f t="shared" si="1"/>
        <v>13.362318840579711</v>
      </c>
      <c r="K8" s="79">
        <f t="shared" si="2"/>
        <v>2.8815789473684212</v>
      </c>
      <c r="N8" s="59" t="s">
        <v>50</v>
      </c>
      <c r="O8" s="60">
        <v>153</v>
      </c>
      <c r="P8" s="62">
        <f>O8*S7</f>
        <v>66.579610016561119</v>
      </c>
      <c r="Q8" s="62">
        <f>P8*R7</f>
        <v>909.44249906487801</v>
      </c>
      <c r="R8" s="520"/>
      <c r="S8" s="520"/>
    </row>
    <row r="9" spans="1:19">
      <c r="A9" s="117">
        <v>46211</v>
      </c>
      <c r="B9" s="81">
        <v>491</v>
      </c>
      <c r="C9" s="430" t="s">
        <v>62</v>
      </c>
      <c r="D9" s="81">
        <v>156</v>
      </c>
      <c r="E9" s="81">
        <v>25</v>
      </c>
      <c r="F9" s="81">
        <v>78</v>
      </c>
      <c r="G9" s="81">
        <v>1027</v>
      </c>
      <c r="H9" s="81">
        <v>331</v>
      </c>
      <c r="I9" s="79">
        <f t="shared" si="0"/>
        <v>0.43093922651933703</v>
      </c>
      <c r="J9" s="79">
        <f t="shared" si="1"/>
        <v>13.166666666666666</v>
      </c>
      <c r="K9" s="79">
        <f t="shared" si="2"/>
        <v>1.8287292817679559</v>
      </c>
      <c r="N9" s="521" t="s">
        <v>51</v>
      </c>
      <c r="O9" s="516"/>
      <c r="P9" s="516"/>
      <c r="Q9" s="516"/>
      <c r="R9" s="516"/>
      <c r="S9" s="511"/>
    </row>
    <row r="10" spans="1:19">
      <c r="A10" s="80">
        <v>46214</v>
      </c>
      <c r="B10" s="81">
        <v>491</v>
      </c>
      <c r="C10" s="435" t="s">
        <v>62</v>
      </c>
      <c r="D10" s="81">
        <v>149</v>
      </c>
      <c r="E10" s="81">
        <v>27</v>
      </c>
      <c r="F10" s="81">
        <v>80</v>
      </c>
      <c r="G10" s="81">
        <v>1075</v>
      </c>
      <c r="H10" s="81">
        <v>363</v>
      </c>
      <c r="I10" s="79">
        <f t="shared" si="0"/>
        <v>0.45454545454545453</v>
      </c>
      <c r="J10" s="79">
        <f t="shared" si="1"/>
        <v>13.4375</v>
      </c>
      <c r="K10" s="79">
        <f t="shared" si="2"/>
        <v>2.0625</v>
      </c>
      <c r="N10" s="521" t="s">
        <v>52</v>
      </c>
      <c r="O10" s="516"/>
      <c r="P10" s="511"/>
      <c r="Q10" s="521" t="s">
        <v>53</v>
      </c>
      <c r="R10" s="516"/>
      <c r="S10" s="511"/>
    </row>
    <row r="11" spans="1:19">
      <c r="A11" s="136">
        <v>46218</v>
      </c>
      <c r="B11" s="81">
        <v>491</v>
      </c>
      <c r="C11" s="441" t="s">
        <v>62</v>
      </c>
      <c r="D11" s="81">
        <v>143</v>
      </c>
      <c r="E11" s="81">
        <v>24</v>
      </c>
      <c r="F11" s="81">
        <v>74</v>
      </c>
      <c r="G11" s="81">
        <v>996</v>
      </c>
      <c r="H11" s="81">
        <v>227</v>
      </c>
      <c r="I11" s="79">
        <f t="shared" si="0"/>
        <v>0.44311377245508982</v>
      </c>
      <c r="J11" s="79">
        <f t="shared" si="1"/>
        <v>13.45945945945946</v>
      </c>
      <c r="K11" s="79">
        <f t="shared" si="2"/>
        <v>1.3592814371257484</v>
      </c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.75">
      <c r="A12" s="80"/>
      <c r="B12" s="81"/>
      <c r="C12" s="404"/>
      <c r="D12" s="81"/>
      <c r="E12" s="81"/>
      <c r="F12" s="81"/>
      <c r="G12" s="81"/>
      <c r="H12" s="81"/>
      <c r="I12" s="79"/>
      <c r="J12" s="79"/>
      <c r="K12" s="79"/>
      <c r="N12" s="63">
        <v>1</v>
      </c>
      <c r="O12" s="64">
        <v>0</v>
      </c>
      <c r="P12" s="65">
        <f>O12*R7</f>
        <v>0</v>
      </c>
      <c r="Q12" s="63">
        <v>3</v>
      </c>
      <c r="R12" s="64">
        <v>50</v>
      </c>
      <c r="S12" s="65">
        <f>R12*R7</f>
        <v>682.973735381344</v>
      </c>
    </row>
    <row r="13" spans="1:19" ht="15.75">
      <c r="A13" s="80"/>
      <c r="B13" s="81"/>
      <c r="C13" s="407"/>
      <c r="D13" s="81"/>
      <c r="E13" s="81"/>
      <c r="F13" s="81"/>
      <c r="G13" s="81"/>
      <c r="H13" s="81"/>
      <c r="I13" s="79"/>
      <c r="J13" s="79"/>
      <c r="K13" s="79"/>
      <c r="N13" s="63">
        <v>2</v>
      </c>
      <c r="O13" s="64">
        <v>0</v>
      </c>
      <c r="P13" s="65">
        <f>O13*R7</f>
        <v>0</v>
      </c>
      <c r="Q13" s="63">
        <v>4</v>
      </c>
      <c r="R13" s="64">
        <v>50</v>
      </c>
      <c r="S13" s="65">
        <f>R7*R13</f>
        <v>682.973735381344</v>
      </c>
    </row>
    <row r="14" spans="1:19" ht="15.75">
      <c r="A14" s="80"/>
      <c r="B14" s="81"/>
      <c r="C14" s="385"/>
      <c r="D14" s="81"/>
      <c r="E14" s="81"/>
      <c r="F14" s="81"/>
      <c r="G14" s="81"/>
      <c r="H14" s="81"/>
      <c r="I14" s="79"/>
      <c r="J14" s="79"/>
      <c r="K14" s="79"/>
      <c r="N14" s="63">
        <v>3</v>
      </c>
      <c r="O14" s="64">
        <v>0</v>
      </c>
      <c r="P14" s="65">
        <f>R7*O14</f>
        <v>0</v>
      </c>
      <c r="Q14" s="63">
        <v>5</v>
      </c>
      <c r="R14" s="64">
        <v>30</v>
      </c>
      <c r="S14" s="65">
        <f>R14*R7</f>
        <v>409.78424122880642</v>
      </c>
    </row>
    <row r="15" spans="1:19" ht="15.75">
      <c r="A15" s="80"/>
      <c r="B15" s="81"/>
      <c r="C15" s="392"/>
      <c r="D15" s="81"/>
      <c r="E15" s="81"/>
      <c r="F15" s="81"/>
      <c r="G15" s="81"/>
      <c r="H15" s="81"/>
      <c r="I15" s="79"/>
      <c r="J15" s="79"/>
      <c r="K15" s="79"/>
      <c r="N15" s="63">
        <v>4</v>
      </c>
      <c r="O15" s="64">
        <v>0</v>
      </c>
      <c r="P15" s="65">
        <f>R7*O15</f>
        <v>0</v>
      </c>
      <c r="Q15" s="63">
        <v>1</v>
      </c>
      <c r="R15" s="64">
        <v>0</v>
      </c>
      <c r="S15" s="65">
        <f>R7*R15</f>
        <v>0</v>
      </c>
    </row>
    <row r="16" spans="1:19" ht="15.75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N16" s="63">
        <v>5</v>
      </c>
      <c r="O16" s="64">
        <v>0</v>
      </c>
      <c r="P16" s="65">
        <f>R7*O16</f>
        <v>0</v>
      </c>
      <c r="Q16" s="63"/>
      <c r="R16" s="64">
        <v>0</v>
      </c>
      <c r="S16" s="65">
        <f>R7*R16</f>
        <v>0</v>
      </c>
    </row>
    <row r="17" spans="1:19" ht="15.75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N17" s="63">
        <v>6</v>
      </c>
      <c r="O17" s="64">
        <v>0</v>
      </c>
      <c r="P17" s="65">
        <f>R7*O17</f>
        <v>0</v>
      </c>
      <c r="Q17" s="63"/>
      <c r="R17" s="64">
        <v>0</v>
      </c>
      <c r="S17" s="65">
        <f>R7*R17</f>
        <v>0</v>
      </c>
    </row>
    <row r="18" spans="1:19" ht="15.75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N18" s="63">
        <v>7</v>
      </c>
      <c r="O18" s="64">
        <v>0</v>
      </c>
      <c r="P18" s="65">
        <f>R7*O18</f>
        <v>0</v>
      </c>
      <c r="Q18" s="63"/>
      <c r="R18" s="64">
        <v>0</v>
      </c>
      <c r="S18" s="65">
        <f>R7*R18</f>
        <v>0</v>
      </c>
    </row>
    <row r="19" spans="1:19" ht="15.75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N19" s="63">
        <v>8</v>
      </c>
      <c r="O19" s="64">
        <v>30</v>
      </c>
      <c r="P19" s="65">
        <f>R7*O19</f>
        <v>409.78424122880642</v>
      </c>
      <c r="Q19" s="63"/>
      <c r="R19" s="64">
        <v>0</v>
      </c>
      <c r="S19" s="65">
        <f>R7*R19</f>
        <v>0</v>
      </c>
    </row>
    <row r="20" spans="1:19" ht="15.75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N20" s="63">
        <v>9</v>
      </c>
      <c r="O20" s="64">
        <v>50</v>
      </c>
      <c r="P20" s="65">
        <f>R7*O20</f>
        <v>682.973735381344</v>
      </c>
      <c r="Q20" s="63"/>
      <c r="R20" s="64">
        <v>0</v>
      </c>
      <c r="S20" s="65">
        <f>R7*R20</f>
        <v>0</v>
      </c>
    </row>
    <row r="21" spans="1:19" ht="15.75" customHeight="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N21" s="68" t="s">
        <v>53</v>
      </c>
      <c r="O21" s="64">
        <v>50</v>
      </c>
      <c r="P21" s="65">
        <f>R7*O21</f>
        <v>682.973735381344</v>
      </c>
      <c r="Q21" s="63"/>
      <c r="R21" s="64"/>
      <c r="S21" s="65">
        <f>R7*R21</f>
        <v>0</v>
      </c>
    </row>
    <row r="22" spans="1:19" ht="15.75" customHeight="1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N22" s="59" t="s">
        <v>59</v>
      </c>
      <c r="O22" s="69">
        <f>P8-O12-O13-O14-O15-O16-O17-O18-O19-O20-O21</f>
        <v>-63.420389983438881</v>
      </c>
      <c r="P22" s="69">
        <f>Q8-P12-P13-P14-P15-P16-P17-P18-P19-P20-P21</f>
        <v>-866.28921292661641</v>
      </c>
      <c r="Q22" s="59" t="s">
        <v>59</v>
      </c>
      <c r="R22" s="69">
        <f>P8-R12-R13-R14-R15-R16-R17-R18-R19-R20-R21</f>
        <v>-63.420389983438881</v>
      </c>
      <c r="S22" s="69">
        <f>Q8-S12-S13-S14-S15-S16-S17-S18-S19-S20-S21</f>
        <v>-866.28921292661641</v>
      </c>
    </row>
    <row r="23" spans="1:19" ht="15.75" customHeight="1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N23" s="59" t="s">
        <v>60</v>
      </c>
      <c r="O23" s="62">
        <f>O12+O13+O14+O15+O16+O17+O18+O19+O20+O21</f>
        <v>130</v>
      </c>
      <c r="P23" s="62">
        <f>P12+P13+P14+P15+P16+P17+P18+P19+P20+P21</f>
        <v>1775.7317119914942</v>
      </c>
      <c r="Q23" s="59" t="s">
        <v>60</v>
      </c>
      <c r="R23" s="62">
        <f>R12+R13+R14+R15+R16+R17+R18+R19+R20+R21</f>
        <v>130</v>
      </c>
      <c r="S23" s="62">
        <f>S12+S13+S14+S15+S16+S17+S18+S19+S20+S21</f>
        <v>1775.7317119914944</v>
      </c>
    </row>
    <row r="24" spans="1:19" ht="15.75" customHeight="1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</row>
    <row r="25" spans="1:19" ht="15.75" customHeight="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</row>
    <row r="26" spans="1:19" ht="15.75" customHeight="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</row>
    <row r="27" spans="1:19" ht="15.75" customHeight="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</row>
    <row r="28" spans="1:19" ht="15.75" customHeight="1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</row>
    <row r="29" spans="1:19" ht="15.75" customHeight="1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</row>
    <row r="30" spans="1:19" ht="15.75" customHeight="1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</row>
    <row r="31" spans="1:19" ht="15.75" customHeight="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</row>
    <row r="32" spans="1:1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67"/>
      <c r="O55" s="67"/>
      <c r="P55" s="67"/>
      <c r="Q55" s="67"/>
      <c r="R55" s="67"/>
      <c r="S55" s="67"/>
    </row>
    <row r="56" spans="14:19" ht="15.75" customHeight="1">
      <c r="N56" s="72"/>
      <c r="O56" s="72"/>
      <c r="P56" s="72"/>
      <c r="Q56" s="72"/>
      <c r="R56" s="72"/>
      <c r="S56" s="7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74.xml><?xml version="1.0" encoding="utf-8"?>
<worksheet xmlns="http://schemas.openxmlformats.org/spreadsheetml/2006/main" xmlns:r="http://schemas.openxmlformats.org/officeDocument/2006/relationships">
  <sheetPr codeName="Лист47"/>
  <dimension ref="A1:S1000"/>
  <sheetViews>
    <sheetView workbookViewId="0">
      <selection activeCell="I11" sqref="I11"/>
    </sheetView>
  </sheetViews>
  <sheetFormatPr defaultColWidth="14.42578125" defaultRowHeight="15" customHeight="1"/>
  <cols>
    <col min="1" max="1" width="10.85546875" style="49" customWidth="1"/>
    <col min="2" max="8" width="8.7109375" style="49" customWidth="1"/>
    <col min="9" max="9" width="14" style="49" customWidth="1"/>
    <col min="10" max="10" width="15.5703125" style="49" customWidth="1"/>
    <col min="11" max="11" width="12.85546875" style="49" customWidth="1"/>
    <col min="12" max="13" width="8.7109375" style="49" customWidth="1"/>
    <col min="14" max="14" width="12" style="49" customWidth="1"/>
    <col min="15" max="15" width="11.5703125" style="49" customWidth="1"/>
    <col min="16" max="16" width="13.5703125" style="49" customWidth="1"/>
    <col min="17" max="17" width="12" style="49" customWidth="1"/>
    <col min="18" max="18" width="10.42578125" style="49" customWidth="1"/>
    <col min="19" max="19" width="12.7109375" style="49" customWidth="1"/>
    <col min="20" max="16384" width="14.42578125" style="49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183</v>
      </c>
    </row>
    <row r="3" spans="1:19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9">
      <c r="A4" s="73" t="s">
        <v>66</v>
      </c>
      <c r="B4" s="73" t="s">
        <v>24</v>
      </c>
      <c r="C4" s="510">
        <f>AVERAGEA(I7:I53)</f>
        <v>0.55939173196096414</v>
      </c>
      <c r="D4" s="511"/>
      <c r="E4" s="510">
        <f>AVERAGEA(J7:J53)</f>
        <v>14.175844984802433</v>
      </c>
      <c r="F4" s="511"/>
      <c r="G4" s="510">
        <f>AVERAGEA(K7:K53)</f>
        <v>1.5584441270749592</v>
      </c>
      <c r="H4" s="511"/>
      <c r="I4" s="74">
        <f>C4*K2</f>
        <v>102.36868694885644</v>
      </c>
      <c r="J4" s="74">
        <f>I4*E4</f>
        <v>1451.1626374847567</v>
      </c>
      <c r="K4" s="74">
        <f>K2*G4</f>
        <v>285.1952752547175</v>
      </c>
    </row>
    <row r="5" spans="1:19" ht="15" customHeight="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  <c r="N6" s="520"/>
      <c r="O6" s="520"/>
      <c r="P6" s="520"/>
      <c r="Q6" s="520"/>
      <c r="R6" s="520"/>
      <c r="S6" s="520"/>
    </row>
    <row r="7" spans="1:19" ht="15.75">
      <c r="A7" s="77">
        <v>46205</v>
      </c>
      <c r="B7" s="78">
        <v>453</v>
      </c>
      <c r="C7" s="78" t="s">
        <v>62</v>
      </c>
      <c r="D7" s="78">
        <v>157</v>
      </c>
      <c r="E7" s="78">
        <v>22</v>
      </c>
      <c r="F7" s="78">
        <v>84</v>
      </c>
      <c r="G7" s="78">
        <v>1152</v>
      </c>
      <c r="H7" s="78">
        <v>456</v>
      </c>
      <c r="I7" s="79">
        <f t="shared" ref="I7:I11" si="0">F7/(D7+E7)</f>
        <v>0.46927374301675978</v>
      </c>
      <c r="J7" s="79">
        <f t="shared" ref="J7:J11" si="1">G7/F7</f>
        <v>13.714285714285714</v>
      </c>
      <c r="K7" s="79">
        <f t="shared" ref="K7:K11" si="2">H7/(D7+E7)</f>
        <v>2.5474860335195531</v>
      </c>
      <c r="N7" s="59" t="s">
        <v>49</v>
      </c>
      <c r="O7" s="60">
        <f>K2</f>
        <v>183</v>
      </c>
      <c r="P7" s="61">
        <f>I4</f>
        <v>102.36868694885644</v>
      </c>
      <c r="Q7" s="61">
        <f>J4</f>
        <v>1451.1626374847567</v>
      </c>
      <c r="R7" s="539">
        <f>Q7/P7</f>
        <v>14.175844984802433</v>
      </c>
      <c r="S7" s="539">
        <f>P7/O7</f>
        <v>0.55939173196096414</v>
      </c>
    </row>
    <row r="8" spans="1:19" ht="15.75">
      <c r="A8" s="80">
        <v>46207</v>
      </c>
      <c r="B8" s="317">
        <v>453</v>
      </c>
      <c r="C8" s="423" t="s">
        <v>62</v>
      </c>
      <c r="D8" s="81">
        <v>145</v>
      </c>
      <c r="E8" s="81">
        <v>25</v>
      </c>
      <c r="F8" s="81">
        <v>105</v>
      </c>
      <c r="G8" s="81">
        <v>1565</v>
      </c>
      <c r="H8" s="81">
        <v>222</v>
      </c>
      <c r="I8" s="79">
        <f t="shared" si="0"/>
        <v>0.61764705882352944</v>
      </c>
      <c r="J8" s="79">
        <f t="shared" si="1"/>
        <v>14.904761904761905</v>
      </c>
      <c r="K8" s="79">
        <f t="shared" si="2"/>
        <v>1.3058823529411765</v>
      </c>
      <c r="N8" s="59" t="s">
        <v>50</v>
      </c>
      <c r="O8" s="60">
        <f>O7</f>
        <v>183</v>
      </c>
      <c r="P8" s="62">
        <f>O8*S7</f>
        <v>102.36868694885644</v>
      </c>
      <c r="Q8" s="62">
        <f>P8*R7</f>
        <v>1451.1626374847567</v>
      </c>
      <c r="R8" s="520"/>
      <c r="S8" s="520"/>
    </row>
    <row r="9" spans="1:19">
      <c r="A9" s="80">
        <v>46212</v>
      </c>
      <c r="B9" s="319">
        <v>453</v>
      </c>
      <c r="C9" s="433" t="s">
        <v>62</v>
      </c>
      <c r="D9" s="81">
        <v>155</v>
      </c>
      <c r="E9" s="81">
        <v>23</v>
      </c>
      <c r="F9" s="81">
        <v>100</v>
      </c>
      <c r="G9" s="81">
        <v>1406</v>
      </c>
      <c r="H9" s="81">
        <v>210</v>
      </c>
      <c r="I9" s="79">
        <f t="shared" si="0"/>
        <v>0.5617977528089888</v>
      </c>
      <c r="J9" s="79">
        <f t="shared" si="1"/>
        <v>14.06</v>
      </c>
      <c r="K9" s="79">
        <f t="shared" si="2"/>
        <v>1.1797752808988764</v>
      </c>
      <c r="N9" s="521" t="s">
        <v>51</v>
      </c>
      <c r="O9" s="516"/>
      <c r="P9" s="516"/>
      <c r="Q9" s="516"/>
      <c r="R9" s="516"/>
      <c r="S9" s="511"/>
    </row>
    <row r="10" spans="1:19">
      <c r="A10" s="80">
        <v>46214</v>
      </c>
      <c r="B10" s="322">
        <v>453</v>
      </c>
      <c r="C10" s="435" t="s">
        <v>62</v>
      </c>
      <c r="D10" s="81">
        <v>139</v>
      </c>
      <c r="E10" s="81">
        <v>28</v>
      </c>
      <c r="F10" s="81">
        <v>94</v>
      </c>
      <c r="G10" s="81">
        <v>1392</v>
      </c>
      <c r="H10" s="81">
        <v>240</v>
      </c>
      <c r="I10" s="79">
        <f t="shared" si="0"/>
        <v>0.56287425149700598</v>
      </c>
      <c r="J10" s="79">
        <f t="shared" si="1"/>
        <v>14.808510638297872</v>
      </c>
      <c r="K10" s="79">
        <f t="shared" si="2"/>
        <v>1.437125748502994</v>
      </c>
      <c r="N10" s="521" t="s">
        <v>52</v>
      </c>
      <c r="O10" s="516"/>
      <c r="P10" s="511"/>
      <c r="Q10" s="521" t="s">
        <v>53</v>
      </c>
      <c r="R10" s="516"/>
      <c r="S10" s="511"/>
    </row>
    <row r="11" spans="1:19">
      <c r="A11" s="403">
        <v>46219</v>
      </c>
      <c r="B11" s="443" t="s">
        <v>163</v>
      </c>
      <c r="C11" s="443" t="s">
        <v>73</v>
      </c>
      <c r="D11" s="81">
        <v>174</v>
      </c>
      <c r="E11" s="81">
        <v>31</v>
      </c>
      <c r="F11" s="81">
        <v>120</v>
      </c>
      <c r="G11" s="81">
        <v>1607</v>
      </c>
      <c r="H11" s="81">
        <v>271</v>
      </c>
      <c r="I11" s="79">
        <f t="shared" si="0"/>
        <v>0.58536585365853655</v>
      </c>
      <c r="J11" s="79">
        <f t="shared" si="1"/>
        <v>13.391666666666667</v>
      </c>
      <c r="K11" s="79">
        <f t="shared" si="2"/>
        <v>1.3219512195121952</v>
      </c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.75">
      <c r="A12" s="80"/>
      <c r="B12" s="404"/>
      <c r="C12" s="404"/>
      <c r="D12" s="81"/>
      <c r="E12" s="81"/>
      <c r="F12" s="81"/>
      <c r="G12" s="81"/>
      <c r="H12" s="81"/>
      <c r="I12" s="79"/>
      <c r="J12" s="79"/>
      <c r="K12" s="79"/>
      <c r="N12" s="63">
        <v>1</v>
      </c>
      <c r="O12" s="64">
        <v>33</v>
      </c>
      <c r="P12" s="65">
        <f>O12*R7</f>
        <v>467.8028844984803</v>
      </c>
      <c r="Q12" s="63">
        <v>3</v>
      </c>
      <c r="R12" s="64">
        <v>13</v>
      </c>
      <c r="S12" s="65">
        <f>R12*R7</f>
        <v>184.28598480243164</v>
      </c>
    </row>
    <row r="13" spans="1:19" ht="15.75">
      <c r="A13" s="80"/>
      <c r="B13" s="303"/>
      <c r="C13" s="407"/>
      <c r="D13" s="81"/>
      <c r="E13" s="81"/>
      <c r="F13" s="81"/>
      <c r="G13" s="81"/>
      <c r="H13" s="81"/>
      <c r="I13" s="79"/>
      <c r="J13" s="79"/>
      <c r="K13" s="79"/>
      <c r="N13" s="63">
        <v>2</v>
      </c>
      <c r="O13" s="64">
        <v>30</v>
      </c>
      <c r="P13" s="65">
        <f>O13*R7</f>
        <v>425.27534954407298</v>
      </c>
      <c r="Q13" s="63">
        <v>4</v>
      </c>
      <c r="R13" s="64">
        <v>30</v>
      </c>
      <c r="S13" s="65">
        <f>R7*R13</f>
        <v>425.27534954407298</v>
      </c>
    </row>
    <row r="14" spans="1:19" ht="15.75">
      <c r="A14" s="80"/>
      <c r="B14" s="307"/>
      <c r="C14" s="409"/>
      <c r="D14" s="81"/>
      <c r="E14" s="81"/>
      <c r="F14" s="81"/>
      <c r="G14" s="81"/>
      <c r="H14" s="81"/>
      <c r="I14" s="79"/>
      <c r="J14" s="79"/>
      <c r="K14" s="79"/>
      <c r="N14" s="63">
        <v>3</v>
      </c>
      <c r="O14" s="64">
        <v>30</v>
      </c>
      <c r="P14" s="65">
        <f>R7*O14</f>
        <v>425.27534954407298</v>
      </c>
      <c r="Q14" s="63">
        <v>5</v>
      </c>
      <c r="R14" s="64">
        <v>40</v>
      </c>
      <c r="S14" s="65">
        <f>R14*R7</f>
        <v>567.03379939209731</v>
      </c>
    </row>
    <row r="15" spans="1:19" ht="15.75">
      <c r="A15" s="273"/>
      <c r="B15" s="361"/>
      <c r="C15" s="392"/>
      <c r="D15" s="81"/>
      <c r="E15" s="81"/>
      <c r="F15" s="81"/>
      <c r="G15" s="81"/>
      <c r="H15" s="81"/>
      <c r="I15" s="79"/>
      <c r="J15" s="79"/>
      <c r="K15" s="79"/>
      <c r="N15" s="63">
        <v>4</v>
      </c>
      <c r="O15" s="64">
        <v>30</v>
      </c>
      <c r="P15" s="65">
        <f>R7*O15</f>
        <v>425.27534954407298</v>
      </c>
      <c r="Q15" s="63">
        <v>1</v>
      </c>
      <c r="R15" s="64">
        <v>40</v>
      </c>
      <c r="S15" s="65">
        <f>R7*R15</f>
        <v>567.03379939209731</v>
      </c>
    </row>
    <row r="16" spans="1:19" ht="15.75">
      <c r="A16" s="66"/>
      <c r="B16" s="67"/>
      <c r="C16" s="67"/>
      <c r="D16" s="67"/>
      <c r="E16" s="67"/>
      <c r="F16" s="67"/>
      <c r="G16" s="67"/>
      <c r="H16" s="67"/>
      <c r="I16" s="58"/>
      <c r="J16" s="58"/>
      <c r="K16" s="58"/>
      <c r="N16" s="63">
        <v>5</v>
      </c>
      <c r="O16" s="64">
        <v>30</v>
      </c>
      <c r="P16" s="65">
        <f>R7*O16</f>
        <v>425.27534954407298</v>
      </c>
      <c r="Q16" s="63"/>
      <c r="R16" s="64">
        <v>0</v>
      </c>
      <c r="S16" s="65">
        <f>R7*R16</f>
        <v>0</v>
      </c>
    </row>
    <row r="17" spans="1:19" ht="15.75">
      <c r="A17" s="66"/>
      <c r="B17" s="67"/>
      <c r="C17" s="67"/>
      <c r="D17" s="67"/>
      <c r="E17" s="67"/>
      <c r="F17" s="67"/>
      <c r="G17" s="67"/>
      <c r="H17" s="67"/>
      <c r="I17" s="58"/>
      <c r="J17" s="58"/>
      <c r="K17" s="58"/>
      <c r="N17" s="63">
        <v>6</v>
      </c>
      <c r="O17" s="64">
        <v>0</v>
      </c>
      <c r="P17" s="65">
        <f>R7*O17</f>
        <v>0</v>
      </c>
      <c r="Q17" s="63"/>
      <c r="R17" s="64">
        <v>0</v>
      </c>
      <c r="S17" s="65">
        <f>R7*R17</f>
        <v>0</v>
      </c>
    </row>
    <row r="18" spans="1:19" ht="15.75">
      <c r="A18" s="66"/>
      <c r="B18" s="67"/>
      <c r="C18" s="67"/>
      <c r="D18" s="67"/>
      <c r="E18" s="67"/>
      <c r="F18" s="67"/>
      <c r="G18" s="67"/>
      <c r="H18" s="67"/>
      <c r="I18" s="58"/>
      <c r="J18" s="58"/>
      <c r="K18" s="58"/>
      <c r="N18" s="63">
        <v>7</v>
      </c>
      <c r="O18" s="64">
        <v>0</v>
      </c>
      <c r="P18" s="65">
        <f>R7*O18</f>
        <v>0</v>
      </c>
      <c r="Q18" s="63"/>
      <c r="R18" s="64">
        <v>0</v>
      </c>
      <c r="S18" s="65">
        <f>R7*R18</f>
        <v>0</v>
      </c>
    </row>
    <row r="19" spans="1:19" ht="15.75" customHeight="1">
      <c r="A19" s="66"/>
      <c r="B19" s="67"/>
      <c r="C19" s="67"/>
      <c r="D19" s="67"/>
      <c r="E19" s="67"/>
      <c r="F19" s="67"/>
      <c r="G19" s="67"/>
      <c r="H19" s="67"/>
      <c r="I19" s="58"/>
      <c r="J19" s="58"/>
      <c r="K19" s="58"/>
      <c r="N19" s="63">
        <v>8</v>
      </c>
      <c r="O19" s="64">
        <v>0</v>
      </c>
      <c r="P19" s="65">
        <f>R7*O19</f>
        <v>0</v>
      </c>
      <c r="Q19" s="63"/>
      <c r="R19" s="64">
        <v>0</v>
      </c>
      <c r="S19" s="65">
        <f>R7*R19</f>
        <v>0</v>
      </c>
    </row>
    <row r="20" spans="1:19" ht="15.75" customHeight="1">
      <c r="A20" s="66"/>
      <c r="B20" s="67"/>
      <c r="C20" s="67"/>
      <c r="D20" s="67"/>
      <c r="E20" s="67"/>
      <c r="F20" s="67"/>
      <c r="G20" s="67"/>
      <c r="H20" s="67"/>
      <c r="I20" s="58"/>
      <c r="J20" s="58"/>
      <c r="K20" s="58"/>
      <c r="N20" s="63">
        <v>9</v>
      </c>
      <c r="O20" s="64">
        <v>0</v>
      </c>
      <c r="P20" s="65">
        <f>R7*O20</f>
        <v>0</v>
      </c>
      <c r="Q20" s="63"/>
      <c r="R20" s="64">
        <v>0</v>
      </c>
      <c r="S20" s="65">
        <f>R7*R20</f>
        <v>0</v>
      </c>
    </row>
    <row r="21" spans="1:19" ht="15.75" customHeight="1">
      <c r="A21" s="66"/>
      <c r="B21" s="67"/>
      <c r="C21" s="67"/>
      <c r="D21" s="67"/>
      <c r="E21" s="67"/>
      <c r="F21" s="67"/>
      <c r="G21" s="67"/>
      <c r="H21" s="67"/>
      <c r="I21" s="58"/>
      <c r="J21" s="58"/>
      <c r="K21" s="58"/>
      <c r="N21" s="68" t="s">
        <v>53</v>
      </c>
      <c r="O21" s="64">
        <v>0</v>
      </c>
      <c r="P21" s="65">
        <f>R7*O21</f>
        <v>0</v>
      </c>
      <c r="Q21" s="63"/>
      <c r="R21" s="64"/>
      <c r="S21" s="65">
        <f>R7*R21</f>
        <v>0</v>
      </c>
    </row>
    <row r="22" spans="1:19" ht="15.75" customHeight="1">
      <c r="A22" s="66"/>
      <c r="B22" s="67"/>
      <c r="C22" s="67"/>
      <c r="D22" s="67"/>
      <c r="E22" s="67"/>
      <c r="F22" s="67"/>
      <c r="G22" s="67"/>
      <c r="H22" s="67"/>
      <c r="I22" s="58"/>
      <c r="J22" s="58"/>
      <c r="K22" s="58"/>
      <c r="N22" s="59" t="s">
        <v>59</v>
      </c>
      <c r="O22" s="69">
        <f>P8-O12-O13-O14-O15-O16-O17-O18-O19-O20-O21</f>
        <v>-50.631313051143565</v>
      </c>
      <c r="P22" s="69">
        <f>Q8-P12-P13-P14-P15-P16-P17-P18-P19-P20-P21</f>
        <v>-717.74164519001556</v>
      </c>
      <c r="Q22" s="59" t="s">
        <v>59</v>
      </c>
      <c r="R22" s="69">
        <f>P8-R12-R13-R14-R15-R16-R17-R18-R19-R20-R21</f>
        <v>-20.631313051143565</v>
      </c>
      <c r="S22" s="69">
        <f>Q8-S12-S13-S14-S15-S16-S17-S18-S19-S20-S21</f>
        <v>-292.46629564594241</v>
      </c>
    </row>
    <row r="23" spans="1:19" ht="15.75" customHeight="1">
      <c r="A23" s="66"/>
      <c r="B23" s="67"/>
      <c r="C23" s="67"/>
      <c r="D23" s="67"/>
      <c r="E23" s="67"/>
      <c r="F23" s="67"/>
      <c r="G23" s="67"/>
      <c r="H23" s="67"/>
      <c r="I23" s="58"/>
      <c r="J23" s="58"/>
      <c r="K23" s="58"/>
      <c r="N23" s="59" t="s">
        <v>60</v>
      </c>
      <c r="O23" s="62">
        <f>O12+O13+O14+O15+O16+O17+O18+O19+O20+O21</f>
        <v>153</v>
      </c>
      <c r="P23" s="62">
        <f>P12+P13+P14+P15+P16+P17+P18+P19+P20+P21</f>
        <v>2168.9042826747723</v>
      </c>
      <c r="Q23" s="59" t="s">
        <v>60</v>
      </c>
      <c r="R23" s="62">
        <f>R12+R13+R14+R15+R16+R17+R18+R19+R20+R21</f>
        <v>123</v>
      </c>
      <c r="S23" s="62">
        <f>S12+S13+S14+S15+S16+S17+S18+S19+S20+S21</f>
        <v>1743.6289331306991</v>
      </c>
    </row>
    <row r="24" spans="1:19" ht="15.75" customHeight="1">
      <c r="A24" s="66"/>
      <c r="B24" s="67"/>
      <c r="C24" s="67"/>
      <c r="D24" s="67"/>
      <c r="E24" s="67"/>
      <c r="F24" s="67"/>
      <c r="G24" s="67"/>
      <c r="H24" s="67"/>
      <c r="I24" s="58"/>
      <c r="J24" s="58"/>
      <c r="K24" s="58"/>
    </row>
    <row r="25" spans="1:19" ht="15.75" customHeight="1">
      <c r="A25" s="66"/>
      <c r="B25" s="67"/>
      <c r="C25" s="67"/>
      <c r="D25" s="67"/>
      <c r="E25" s="67"/>
      <c r="F25" s="67"/>
      <c r="G25" s="67"/>
      <c r="H25" s="67"/>
      <c r="I25" s="58"/>
      <c r="J25" s="58"/>
      <c r="K25" s="58"/>
    </row>
    <row r="26" spans="1:19" ht="15.75" customHeight="1">
      <c r="A26" s="66"/>
      <c r="B26" s="67"/>
      <c r="C26" s="67"/>
      <c r="D26" s="67"/>
      <c r="E26" s="67"/>
      <c r="F26" s="67"/>
      <c r="G26" s="67"/>
      <c r="H26" s="67"/>
      <c r="I26" s="58"/>
      <c r="J26" s="58"/>
      <c r="K26" s="58"/>
    </row>
    <row r="27" spans="1:19" ht="15.75" customHeight="1">
      <c r="A27" s="66"/>
      <c r="B27" s="67"/>
      <c r="C27" s="67"/>
      <c r="D27" s="67"/>
      <c r="E27" s="67"/>
      <c r="F27" s="67"/>
      <c r="G27" s="67"/>
      <c r="H27" s="67"/>
      <c r="I27" s="58"/>
      <c r="J27" s="58"/>
      <c r="K27" s="58"/>
    </row>
    <row r="28" spans="1:19" ht="15.75" customHeight="1">
      <c r="A28" s="66"/>
      <c r="B28" s="67"/>
      <c r="C28" s="67"/>
      <c r="D28" s="67"/>
      <c r="E28" s="67"/>
      <c r="F28" s="67"/>
      <c r="G28" s="67"/>
      <c r="H28" s="67"/>
      <c r="I28" s="58"/>
      <c r="J28" s="58"/>
      <c r="K28" s="58"/>
    </row>
    <row r="29" spans="1:19" ht="15.75" customHeight="1">
      <c r="A29" s="66"/>
      <c r="B29" s="67"/>
      <c r="C29" s="67"/>
      <c r="D29" s="67"/>
      <c r="E29" s="67"/>
      <c r="F29" s="67"/>
      <c r="G29" s="67"/>
      <c r="H29" s="67"/>
      <c r="I29" s="58"/>
      <c r="J29" s="58"/>
      <c r="K29" s="58"/>
    </row>
    <row r="30" spans="1:19" ht="15.75" customHeight="1">
      <c r="A30" s="66"/>
      <c r="B30" s="67"/>
      <c r="C30" s="67"/>
      <c r="D30" s="67"/>
      <c r="E30" s="67"/>
      <c r="F30" s="67"/>
      <c r="G30" s="67"/>
      <c r="H30" s="67"/>
      <c r="I30" s="58"/>
      <c r="J30" s="58"/>
      <c r="K30" s="58"/>
    </row>
    <row r="31" spans="1:19" ht="15.75" customHeight="1">
      <c r="A31" s="87"/>
      <c r="B31" s="73"/>
      <c r="C31" s="73"/>
      <c r="D31" s="73"/>
      <c r="E31" s="73"/>
      <c r="F31" s="73"/>
      <c r="G31" s="73"/>
      <c r="H31" s="73"/>
      <c r="I31" s="84"/>
      <c r="J31" s="84"/>
      <c r="K31" s="84"/>
    </row>
    <row r="32" spans="1:19" ht="15.75" customHeight="1">
      <c r="A32" s="80"/>
      <c r="B32" s="86"/>
      <c r="C32" s="86"/>
      <c r="D32" s="86"/>
      <c r="E32" s="86"/>
      <c r="F32" s="86"/>
      <c r="G32" s="86"/>
      <c r="H32" s="86"/>
      <c r="I32" s="88"/>
      <c r="J32" s="79"/>
      <c r="K32" s="79"/>
    </row>
    <row r="33" spans="1:11" ht="15.75" customHeight="1">
      <c r="A33" s="80"/>
      <c r="B33" s="86"/>
      <c r="C33" s="86"/>
      <c r="D33" s="86"/>
      <c r="E33" s="86"/>
      <c r="F33" s="86"/>
      <c r="G33" s="86"/>
      <c r="H33" s="86"/>
      <c r="I33" s="79"/>
      <c r="J33" s="79"/>
      <c r="K33" s="79"/>
    </row>
    <row r="34" spans="1:11" ht="15.75" customHeight="1"/>
    <row r="35" spans="1:11" ht="15.75" customHeight="1"/>
    <row r="36" spans="1:11" ht="15.75" customHeight="1"/>
    <row r="37" spans="1:11" ht="15.75" customHeight="1"/>
    <row r="38" spans="1:11" ht="15.75" customHeight="1"/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67"/>
      <c r="O55" s="67"/>
      <c r="P55" s="67"/>
      <c r="Q55" s="67"/>
      <c r="R55" s="67"/>
      <c r="S55" s="67"/>
    </row>
    <row r="56" spans="14:19" ht="15.75" customHeight="1">
      <c r="N56" s="72"/>
      <c r="O56" s="72"/>
      <c r="P56" s="72"/>
      <c r="Q56" s="72"/>
      <c r="R56" s="72"/>
      <c r="S56" s="7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>
  <dimension ref="A1:K24"/>
  <sheetViews>
    <sheetView workbookViewId="0">
      <selection activeCell="I11" sqref="I11"/>
    </sheetView>
  </sheetViews>
  <sheetFormatPr defaultRowHeight="15"/>
  <cols>
    <col min="1" max="1" width="10.85546875" customWidth="1"/>
  </cols>
  <sheetData>
    <row r="1" spans="1:11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1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183</v>
      </c>
    </row>
    <row r="3" spans="1:11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1">
      <c r="A4" s="73" t="s">
        <v>66</v>
      </c>
      <c r="B4" s="73" t="s">
        <v>113</v>
      </c>
      <c r="C4" s="510">
        <f>AVERAGEA(I7:I53)</f>
        <v>0.39876216510099571</v>
      </c>
      <c r="D4" s="511"/>
      <c r="E4" s="510">
        <f>AVERAGEA(J7:J53)</f>
        <v>13.73316636882149</v>
      </c>
      <c r="F4" s="511"/>
      <c r="G4" s="510">
        <f>AVERAGEA(K7:K53)</f>
        <v>1.4872143451588731</v>
      </c>
      <c r="H4" s="511"/>
      <c r="I4" s="74">
        <f>C4*K2</f>
        <v>72.973476213482215</v>
      </c>
      <c r="J4" s="74">
        <f>I4*E4</f>
        <v>1002.1568893509889</v>
      </c>
      <c r="K4" s="74">
        <f>K2*G4</f>
        <v>272.16022516407378</v>
      </c>
    </row>
    <row r="5" spans="1:1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</row>
    <row r="6" spans="1:11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</row>
    <row r="7" spans="1:11">
      <c r="A7" s="77">
        <v>46205</v>
      </c>
      <c r="B7" s="78">
        <v>517</v>
      </c>
      <c r="C7" s="78" t="s">
        <v>62</v>
      </c>
      <c r="D7" s="78">
        <v>154</v>
      </c>
      <c r="E7" s="78">
        <v>28</v>
      </c>
      <c r="F7" s="78">
        <v>83</v>
      </c>
      <c r="G7" s="78">
        <v>1055</v>
      </c>
      <c r="H7" s="78">
        <v>123</v>
      </c>
      <c r="I7" s="79">
        <f t="shared" ref="I7:I11" si="0">F7/(D7+E7)</f>
        <v>0.45604395604395603</v>
      </c>
      <c r="J7" s="79">
        <f t="shared" ref="J7:J11" si="1">G7/F7</f>
        <v>12.710843373493976</v>
      </c>
      <c r="K7" s="79">
        <f t="shared" ref="K7:K11" si="2">H7/(D7+E7)</f>
        <v>0.67582417582417587</v>
      </c>
    </row>
    <row r="8" spans="1:11">
      <c r="A8" s="80">
        <v>46208</v>
      </c>
      <c r="B8" s="426" t="s">
        <v>155</v>
      </c>
      <c r="C8" s="426" t="s">
        <v>73</v>
      </c>
      <c r="D8" s="81">
        <v>157</v>
      </c>
      <c r="E8" s="81">
        <v>28</v>
      </c>
      <c r="F8" s="81">
        <v>77</v>
      </c>
      <c r="G8" s="81">
        <v>1034</v>
      </c>
      <c r="H8" s="81">
        <v>217</v>
      </c>
      <c r="I8" s="79">
        <f t="shared" si="0"/>
        <v>0.41621621621621624</v>
      </c>
      <c r="J8" s="79">
        <f t="shared" si="1"/>
        <v>13.428571428571429</v>
      </c>
      <c r="K8" s="79">
        <f t="shared" si="2"/>
        <v>1.172972972972973</v>
      </c>
    </row>
    <row r="9" spans="1:11">
      <c r="A9" s="80">
        <v>46212</v>
      </c>
      <c r="B9" s="342">
        <v>517</v>
      </c>
      <c r="C9" s="433" t="s">
        <v>62</v>
      </c>
      <c r="D9" s="81">
        <v>154</v>
      </c>
      <c r="E9" s="81">
        <v>21</v>
      </c>
      <c r="F9" s="81">
        <v>64</v>
      </c>
      <c r="G9" s="81">
        <v>895</v>
      </c>
      <c r="H9" s="81">
        <v>152</v>
      </c>
      <c r="I9" s="79">
        <f t="shared" si="0"/>
        <v>0.36571428571428571</v>
      </c>
      <c r="J9" s="79">
        <f t="shared" si="1"/>
        <v>13.984375</v>
      </c>
      <c r="K9" s="79">
        <f t="shared" si="2"/>
        <v>0.86857142857142855</v>
      </c>
    </row>
    <row r="10" spans="1:11">
      <c r="A10" s="80">
        <v>46215</v>
      </c>
      <c r="B10" s="438" t="s">
        <v>155</v>
      </c>
      <c r="C10" s="438" t="s">
        <v>73</v>
      </c>
      <c r="D10" s="81">
        <v>175</v>
      </c>
      <c r="E10" s="201">
        <v>28</v>
      </c>
      <c r="F10" s="81">
        <v>74</v>
      </c>
      <c r="G10" s="81">
        <v>1072</v>
      </c>
      <c r="H10" s="81">
        <v>350</v>
      </c>
      <c r="I10" s="79">
        <f t="shared" si="0"/>
        <v>0.3645320197044335</v>
      </c>
      <c r="J10" s="79">
        <f t="shared" si="1"/>
        <v>14.486486486486486</v>
      </c>
      <c r="K10" s="79">
        <f t="shared" si="2"/>
        <v>1.7241379310344827</v>
      </c>
    </row>
    <row r="11" spans="1:11">
      <c r="A11" s="80">
        <v>46219</v>
      </c>
      <c r="B11" s="402">
        <v>517</v>
      </c>
      <c r="C11" s="446" t="s">
        <v>62</v>
      </c>
      <c r="D11" s="81">
        <v>158</v>
      </c>
      <c r="E11" s="81">
        <v>26</v>
      </c>
      <c r="F11" s="81">
        <v>72</v>
      </c>
      <c r="G11" s="81">
        <v>1012</v>
      </c>
      <c r="H11" s="81">
        <v>551</v>
      </c>
      <c r="I11" s="79">
        <f t="shared" si="0"/>
        <v>0.39130434782608697</v>
      </c>
      <c r="J11" s="79">
        <f t="shared" si="1"/>
        <v>14.055555555555555</v>
      </c>
      <c r="K11" s="79">
        <f t="shared" si="2"/>
        <v>2.9945652173913042</v>
      </c>
    </row>
    <row r="12" spans="1:11">
      <c r="A12" s="80"/>
      <c r="B12" s="359"/>
      <c r="C12" s="402"/>
      <c r="D12" s="81"/>
      <c r="E12" s="81"/>
      <c r="F12" s="81"/>
      <c r="G12" s="81"/>
      <c r="H12" s="81"/>
      <c r="I12" s="79"/>
      <c r="J12" s="79"/>
      <c r="K12" s="79"/>
    </row>
    <row r="13" spans="1:11">
      <c r="A13" s="80"/>
      <c r="B13" s="404"/>
      <c r="C13" s="404"/>
      <c r="D13" s="81"/>
      <c r="E13" s="81"/>
      <c r="F13" s="81"/>
      <c r="G13" s="81"/>
      <c r="H13" s="81"/>
      <c r="I13" s="79"/>
      <c r="J13" s="79"/>
      <c r="K13" s="79"/>
    </row>
    <row r="14" spans="1:11">
      <c r="A14" s="80"/>
      <c r="B14" s="263"/>
      <c r="C14" s="407"/>
      <c r="D14" s="81"/>
      <c r="E14" s="81"/>
      <c r="F14" s="81"/>
      <c r="G14" s="81"/>
      <c r="H14" s="81"/>
      <c r="I14" s="79"/>
      <c r="J14" s="79"/>
      <c r="K14" s="79"/>
    </row>
    <row r="15" spans="1:11">
      <c r="A15" s="80"/>
      <c r="B15" s="409"/>
      <c r="C15" s="409"/>
      <c r="D15" s="81"/>
      <c r="E15" s="81"/>
      <c r="F15" s="81"/>
      <c r="G15" s="81"/>
      <c r="H15" s="81"/>
      <c r="I15" s="79"/>
      <c r="J15" s="79"/>
      <c r="K15" s="79"/>
    </row>
    <row r="16" spans="1:11">
      <c r="A16" s="80"/>
      <c r="B16" s="267"/>
      <c r="C16" s="267"/>
      <c r="D16" s="215"/>
      <c r="E16" s="81"/>
      <c r="F16" s="81"/>
      <c r="G16" s="81"/>
      <c r="H16" s="81"/>
      <c r="I16" s="79"/>
      <c r="J16" s="79"/>
      <c r="K16" s="79"/>
    </row>
    <row r="17" spans="1:11">
      <c r="A17" s="80"/>
      <c r="B17" s="275"/>
      <c r="C17" s="275"/>
      <c r="D17" s="81"/>
      <c r="E17" s="81"/>
      <c r="F17" s="81"/>
      <c r="G17" s="81"/>
      <c r="H17" s="81"/>
      <c r="I17" s="79"/>
      <c r="J17" s="79"/>
      <c r="K17" s="79"/>
    </row>
    <row r="18" spans="1:11">
      <c r="A18" s="80"/>
      <c r="B18" s="252"/>
      <c r="C18" s="252"/>
      <c r="D18" s="81"/>
      <c r="E18" s="81"/>
      <c r="F18" s="81"/>
      <c r="G18" s="81"/>
      <c r="H18" s="81"/>
      <c r="I18" s="79"/>
      <c r="J18" s="79"/>
      <c r="K18" s="79"/>
    </row>
    <row r="19" spans="1:11">
      <c r="A19" s="80"/>
      <c r="B19" s="253"/>
      <c r="C19" s="253"/>
      <c r="D19" s="81"/>
      <c r="E19" s="81"/>
      <c r="F19" s="81"/>
      <c r="G19" s="81"/>
      <c r="H19" s="81"/>
      <c r="I19" s="79"/>
      <c r="J19" s="79"/>
      <c r="K19" s="79"/>
    </row>
    <row r="20" spans="1:11">
      <c r="A20" s="80"/>
      <c r="B20" s="254"/>
      <c r="C20" s="254"/>
      <c r="D20" s="81"/>
      <c r="E20" s="81"/>
      <c r="F20" s="81"/>
      <c r="G20" s="81"/>
      <c r="H20" s="81"/>
      <c r="I20" s="79"/>
      <c r="J20" s="79"/>
      <c r="K20" s="79"/>
    </row>
    <row r="21" spans="1:11">
      <c r="A21" s="80"/>
      <c r="B21" s="236"/>
      <c r="C21" s="236"/>
      <c r="D21" s="81"/>
      <c r="E21" s="81"/>
      <c r="F21" s="81"/>
      <c r="G21" s="81"/>
      <c r="H21" s="81"/>
      <c r="I21" s="79"/>
      <c r="J21" s="79"/>
      <c r="K21" s="79"/>
    </row>
    <row r="22" spans="1:11">
      <c r="A22" s="80"/>
      <c r="B22" s="237"/>
      <c r="C22" s="237"/>
      <c r="D22" s="81"/>
      <c r="E22" s="81"/>
      <c r="F22" s="81"/>
      <c r="G22" s="81"/>
      <c r="H22" s="81"/>
      <c r="I22" s="79"/>
      <c r="J22" s="79"/>
      <c r="K22" s="79"/>
    </row>
    <row r="23" spans="1:11">
      <c r="A23" s="80"/>
      <c r="B23" s="240"/>
      <c r="C23" s="240"/>
      <c r="D23" s="81"/>
      <c r="E23" s="81"/>
      <c r="F23" s="81"/>
      <c r="G23" s="81"/>
      <c r="H23" s="81"/>
      <c r="I23" s="79"/>
      <c r="J23" s="79"/>
      <c r="K23" s="79"/>
    </row>
    <row r="24" spans="1:11">
      <c r="A24" s="24"/>
      <c r="B24" s="230"/>
      <c r="C24" s="230"/>
      <c r="D24" s="230"/>
      <c r="E24" s="230"/>
      <c r="F24" s="230"/>
      <c r="G24" s="230"/>
      <c r="H24" s="230"/>
      <c r="I24" s="79"/>
      <c r="J24" s="79"/>
      <c r="K24" s="79"/>
    </row>
  </sheetData>
  <sheetProtection password="CC6F" sheet="1" objects="1" scenarios="1"/>
  <mergeCells count="23">
    <mergeCell ref="I5:I6"/>
    <mergeCell ref="J5:J6"/>
    <mergeCell ref="K5:K6"/>
    <mergeCell ref="C4:D4"/>
    <mergeCell ref="E4:F4"/>
    <mergeCell ref="G4:H4"/>
    <mergeCell ref="F5:G5"/>
    <mergeCell ref="H5:H6"/>
    <mergeCell ref="A5:A6"/>
    <mergeCell ref="B5:B6"/>
    <mergeCell ref="C5:C6"/>
    <mergeCell ref="D5:D6"/>
    <mergeCell ref="E5:E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>
  <sheetPr codeName="Лист48">
    <outlinePr summaryBelow="0" summaryRight="0"/>
  </sheetPr>
  <dimension ref="A1:S1000"/>
  <sheetViews>
    <sheetView workbookViewId="0">
      <selection activeCell="I11" sqref="I11"/>
    </sheetView>
  </sheetViews>
  <sheetFormatPr defaultColWidth="14.42578125" defaultRowHeight="15" customHeight="1"/>
  <cols>
    <col min="1" max="1" width="11.42578125" style="49" customWidth="1"/>
    <col min="2" max="8" width="8.7109375" style="49" customWidth="1"/>
    <col min="9" max="9" width="14" style="49" customWidth="1"/>
    <col min="10" max="10" width="15.5703125" style="49" customWidth="1"/>
    <col min="11" max="11" width="12.85546875" style="49" customWidth="1"/>
    <col min="12" max="13" width="8.7109375" style="49" customWidth="1"/>
    <col min="14" max="14" width="12" style="49" customWidth="1"/>
    <col min="15" max="15" width="11.5703125" style="49" customWidth="1"/>
    <col min="16" max="16" width="13.5703125" style="49" customWidth="1"/>
    <col min="17" max="17" width="12" style="49" customWidth="1"/>
    <col min="18" max="18" width="10.42578125" style="49" customWidth="1"/>
    <col min="19" max="19" width="12.7109375" style="49" customWidth="1"/>
    <col min="20" max="16384" width="14.42578125" style="49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210</v>
      </c>
    </row>
    <row r="3" spans="1:19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/>
    </row>
    <row r="4" spans="1:19">
      <c r="A4" s="73" t="s">
        <v>66</v>
      </c>
      <c r="B4" s="73" t="s">
        <v>99</v>
      </c>
      <c r="C4" s="510">
        <f>AVERAGEA(I7:I51)</f>
        <v>0.48614470563432272</v>
      </c>
      <c r="D4" s="511"/>
      <c r="E4" s="510">
        <f>AVERAGEA(J7:J51)</f>
        <v>13.653912408898531</v>
      </c>
      <c r="F4" s="511"/>
      <c r="G4" s="510">
        <f>AVERAGEA(K7:K51)</f>
        <v>1.8074111219689548</v>
      </c>
      <c r="H4" s="511"/>
      <c r="I4" s="74">
        <f>C4*K2</f>
        <v>102.09038818320776</v>
      </c>
      <c r="J4" s="74">
        <f>I4*E4</f>
        <v>1393.9332180439685</v>
      </c>
      <c r="K4" s="74">
        <f>K2*G4</f>
        <v>379.55633561348048</v>
      </c>
    </row>
    <row r="5" spans="1:19" ht="15" customHeight="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20"/>
      <c r="B6" s="520"/>
      <c r="C6" s="520"/>
      <c r="D6" s="520"/>
      <c r="E6" s="520"/>
      <c r="F6" s="54" t="s">
        <v>20</v>
      </c>
      <c r="G6" s="55" t="s">
        <v>21</v>
      </c>
      <c r="H6" s="520"/>
      <c r="I6" s="520"/>
      <c r="J6" s="520"/>
      <c r="K6" s="520"/>
      <c r="N6" s="520"/>
      <c r="O6" s="520"/>
      <c r="P6" s="520"/>
      <c r="Q6" s="520"/>
      <c r="R6" s="520"/>
      <c r="S6" s="520"/>
    </row>
    <row r="7" spans="1:19" ht="15.75">
      <c r="A7" s="56">
        <v>46204</v>
      </c>
      <c r="B7" s="57">
        <v>515</v>
      </c>
      <c r="C7" s="57" t="s">
        <v>62</v>
      </c>
      <c r="D7" s="57">
        <v>103</v>
      </c>
      <c r="E7" s="57">
        <v>24</v>
      </c>
      <c r="F7" s="57">
        <v>69</v>
      </c>
      <c r="G7" s="57">
        <v>918</v>
      </c>
      <c r="H7" s="57">
        <v>243</v>
      </c>
      <c r="I7" s="58">
        <f t="shared" ref="I7:I11" si="0">F7/(D7+E7)</f>
        <v>0.54330708661417326</v>
      </c>
      <c r="J7" s="58">
        <f t="shared" ref="J7:J11" si="1">G7/F7</f>
        <v>13.304347826086957</v>
      </c>
      <c r="K7" s="58">
        <f t="shared" ref="K7:K11" si="2">H7/(D7+E7)</f>
        <v>1.9133858267716535</v>
      </c>
      <c r="N7" s="59" t="s">
        <v>49</v>
      </c>
      <c r="O7" s="60">
        <f>K2</f>
        <v>210</v>
      </c>
      <c r="P7" s="61">
        <f>I4</f>
        <v>102.09038818320776</v>
      </c>
      <c r="Q7" s="61">
        <f>J4</f>
        <v>1393.9332180439685</v>
      </c>
      <c r="R7" s="539">
        <f>Q7/P7</f>
        <v>13.653912408898531</v>
      </c>
      <c r="S7" s="539">
        <f>P7/O7</f>
        <v>0.48614470563432266</v>
      </c>
    </row>
    <row r="8" spans="1:19" ht="15.75">
      <c r="A8" s="56">
        <v>46209</v>
      </c>
      <c r="B8" s="57">
        <v>515</v>
      </c>
      <c r="C8" s="57" t="s">
        <v>62</v>
      </c>
      <c r="D8" s="57">
        <v>116</v>
      </c>
      <c r="E8" s="57">
        <v>20</v>
      </c>
      <c r="F8" s="57">
        <v>66</v>
      </c>
      <c r="G8" s="57">
        <v>975</v>
      </c>
      <c r="H8" s="57">
        <v>256</v>
      </c>
      <c r="I8" s="58">
        <f t="shared" si="0"/>
        <v>0.48529411764705882</v>
      </c>
      <c r="J8" s="58">
        <f t="shared" si="1"/>
        <v>14.772727272727273</v>
      </c>
      <c r="K8" s="58">
        <f t="shared" si="2"/>
        <v>1.8823529411764706</v>
      </c>
      <c r="N8" s="59" t="s">
        <v>50</v>
      </c>
      <c r="O8" s="60">
        <f>O7</f>
        <v>210</v>
      </c>
      <c r="P8" s="62">
        <f>O8*S7</f>
        <v>102.09038818320776</v>
      </c>
      <c r="Q8" s="62">
        <f>P8*R7</f>
        <v>1393.9332180439685</v>
      </c>
      <c r="R8" s="520"/>
      <c r="S8" s="520"/>
    </row>
    <row r="9" spans="1:19" ht="15" customHeight="1">
      <c r="A9" s="56">
        <v>46211</v>
      </c>
      <c r="B9" s="57">
        <v>515</v>
      </c>
      <c r="C9" s="57" t="s">
        <v>62</v>
      </c>
      <c r="D9" s="57">
        <v>87</v>
      </c>
      <c r="E9" s="57">
        <v>19</v>
      </c>
      <c r="F9" s="57">
        <v>47</v>
      </c>
      <c r="G9" s="57">
        <v>605</v>
      </c>
      <c r="H9" s="57">
        <v>283</v>
      </c>
      <c r="I9" s="58">
        <f t="shared" si="0"/>
        <v>0.44339622641509435</v>
      </c>
      <c r="J9" s="58">
        <f t="shared" si="1"/>
        <v>12.872340425531915</v>
      </c>
      <c r="K9" s="58">
        <f t="shared" si="2"/>
        <v>2.6698113207547172</v>
      </c>
      <c r="N9" s="521" t="s">
        <v>51</v>
      </c>
      <c r="O9" s="516"/>
      <c r="P9" s="516"/>
      <c r="Q9" s="516"/>
      <c r="R9" s="516"/>
      <c r="S9" s="511"/>
    </row>
    <row r="10" spans="1:19" ht="15" customHeight="1">
      <c r="A10" s="56">
        <v>46216</v>
      </c>
      <c r="B10" s="57">
        <v>515</v>
      </c>
      <c r="C10" s="57" t="s">
        <v>62</v>
      </c>
      <c r="D10" s="57">
        <v>130</v>
      </c>
      <c r="E10" s="57">
        <v>28</v>
      </c>
      <c r="F10" s="57">
        <v>75</v>
      </c>
      <c r="G10" s="57">
        <v>1060</v>
      </c>
      <c r="H10" s="57">
        <v>292</v>
      </c>
      <c r="I10" s="58">
        <f t="shared" si="0"/>
        <v>0.47468354430379744</v>
      </c>
      <c r="J10" s="58">
        <f t="shared" si="1"/>
        <v>14.133333333333333</v>
      </c>
      <c r="K10" s="58">
        <f t="shared" si="2"/>
        <v>1.8481012658227849</v>
      </c>
      <c r="N10" s="521" t="s">
        <v>52</v>
      </c>
      <c r="O10" s="516"/>
      <c r="P10" s="511"/>
      <c r="Q10" s="521" t="s">
        <v>53</v>
      </c>
      <c r="R10" s="516"/>
      <c r="S10" s="511"/>
    </row>
    <row r="11" spans="1:19" ht="15" customHeight="1">
      <c r="A11" s="56">
        <v>46218</v>
      </c>
      <c r="B11" s="57" t="s">
        <v>162</v>
      </c>
      <c r="C11" s="57" t="s">
        <v>73</v>
      </c>
      <c r="D11" s="57">
        <v>155</v>
      </c>
      <c r="E11" s="57">
        <v>33</v>
      </c>
      <c r="F11" s="57">
        <v>91</v>
      </c>
      <c r="G11" s="57">
        <v>1200</v>
      </c>
      <c r="H11" s="57">
        <v>136</v>
      </c>
      <c r="I11" s="58">
        <f t="shared" si="0"/>
        <v>0.48404255319148937</v>
      </c>
      <c r="J11" s="58">
        <f t="shared" si="1"/>
        <v>13.186813186813186</v>
      </c>
      <c r="K11" s="58">
        <f t="shared" si="2"/>
        <v>0.72340425531914898</v>
      </c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" customHeight="1">
      <c r="A12" s="56"/>
      <c r="B12" s="57"/>
      <c r="C12" s="57"/>
      <c r="D12" s="57"/>
      <c r="E12" s="57"/>
      <c r="F12" s="57"/>
      <c r="G12" s="57"/>
      <c r="H12" s="57"/>
      <c r="I12" s="58"/>
      <c r="J12" s="58"/>
      <c r="K12" s="58"/>
      <c r="N12" s="63">
        <v>1</v>
      </c>
      <c r="O12" s="64">
        <v>0</v>
      </c>
      <c r="P12" s="65">
        <f>O12*R7</f>
        <v>0</v>
      </c>
      <c r="Q12" s="63">
        <v>3</v>
      </c>
      <c r="R12" s="64">
        <v>50</v>
      </c>
      <c r="S12" s="65">
        <f>R12*R7</f>
        <v>682.69562044492659</v>
      </c>
    </row>
    <row r="13" spans="1:19" ht="15" customHeight="1">
      <c r="A13" s="56"/>
      <c r="B13" s="57"/>
      <c r="C13" s="57"/>
      <c r="D13" s="57"/>
      <c r="E13" s="57"/>
      <c r="F13" s="57"/>
      <c r="G13" s="57"/>
      <c r="H13" s="57"/>
      <c r="I13" s="58"/>
      <c r="J13" s="58"/>
      <c r="K13" s="58"/>
      <c r="N13" s="63">
        <v>2</v>
      </c>
      <c r="O13" s="64">
        <v>0</v>
      </c>
      <c r="P13" s="65">
        <f>O13*R7</f>
        <v>0</v>
      </c>
      <c r="Q13" s="63">
        <v>4</v>
      </c>
      <c r="R13" s="64">
        <v>47</v>
      </c>
      <c r="S13" s="65">
        <f>R7*R13</f>
        <v>641.73388321823097</v>
      </c>
    </row>
    <row r="14" spans="1:19" ht="15" customHeight="1">
      <c r="A14" s="56"/>
      <c r="B14" s="57"/>
      <c r="C14" s="57"/>
      <c r="D14" s="57"/>
      <c r="E14" s="57"/>
      <c r="F14" s="57"/>
      <c r="G14" s="57"/>
      <c r="H14" s="57"/>
      <c r="I14" s="58"/>
      <c r="J14" s="58"/>
      <c r="K14" s="58"/>
      <c r="N14" s="63">
        <v>3</v>
      </c>
      <c r="O14" s="64">
        <v>0</v>
      </c>
      <c r="P14" s="65">
        <f>R7*O14</f>
        <v>0</v>
      </c>
      <c r="Q14" s="63">
        <v>5</v>
      </c>
      <c r="R14" s="64">
        <v>0</v>
      </c>
      <c r="S14" s="65">
        <f>R14*R7</f>
        <v>0</v>
      </c>
    </row>
    <row r="15" spans="1:19" ht="15" customHeight="1">
      <c r="A15" s="56"/>
      <c r="B15" s="57"/>
      <c r="C15" s="57"/>
      <c r="D15" s="57"/>
      <c r="E15" s="57"/>
      <c r="F15" s="57"/>
      <c r="G15" s="57"/>
      <c r="H15" s="57"/>
      <c r="I15" s="58"/>
      <c r="J15" s="58"/>
      <c r="K15" s="58"/>
      <c r="N15" s="63">
        <v>4</v>
      </c>
      <c r="O15" s="64">
        <v>0</v>
      </c>
      <c r="P15" s="65">
        <f>R7*O15</f>
        <v>0</v>
      </c>
      <c r="Q15" s="63">
        <v>1</v>
      </c>
      <c r="R15" s="64">
        <v>0</v>
      </c>
      <c r="S15" s="65">
        <f>R7*R15</f>
        <v>0</v>
      </c>
    </row>
    <row r="16" spans="1:19" ht="15" customHeight="1">
      <c r="A16" s="56"/>
      <c r="B16" s="57"/>
      <c r="C16" s="57"/>
      <c r="D16" s="57"/>
      <c r="E16" s="57"/>
      <c r="F16" s="57"/>
      <c r="G16" s="57"/>
      <c r="H16" s="57"/>
      <c r="I16" s="58"/>
      <c r="J16" s="58"/>
      <c r="K16" s="58"/>
      <c r="N16" s="63">
        <v>5</v>
      </c>
      <c r="O16" s="64">
        <v>0</v>
      </c>
      <c r="P16" s="65">
        <f>R7*O16</f>
        <v>0</v>
      </c>
      <c r="Q16" s="63"/>
      <c r="R16" s="64">
        <v>0</v>
      </c>
      <c r="S16" s="65">
        <f>R7*R16</f>
        <v>0</v>
      </c>
    </row>
    <row r="17" spans="1:19" ht="15" customHeight="1">
      <c r="A17" s="56"/>
      <c r="B17" s="57"/>
      <c r="C17" s="57"/>
      <c r="D17" s="57"/>
      <c r="E17" s="57"/>
      <c r="F17" s="57"/>
      <c r="G17" s="57"/>
      <c r="H17" s="57"/>
      <c r="I17" s="58"/>
      <c r="J17" s="58"/>
      <c r="K17" s="58"/>
      <c r="N17" s="63">
        <v>6</v>
      </c>
      <c r="O17" s="64">
        <v>0</v>
      </c>
      <c r="P17" s="65">
        <f>R7*O17</f>
        <v>0</v>
      </c>
      <c r="Q17" s="63"/>
      <c r="R17" s="64">
        <v>0</v>
      </c>
      <c r="S17" s="65">
        <f>R7*R17</f>
        <v>0</v>
      </c>
    </row>
    <row r="18" spans="1:19" ht="15" customHeight="1">
      <c r="A18" s="56"/>
      <c r="B18" s="57"/>
      <c r="C18" s="57"/>
      <c r="D18" s="57"/>
      <c r="E18" s="57"/>
      <c r="F18" s="57"/>
      <c r="G18" s="57"/>
      <c r="H18" s="57"/>
      <c r="I18" s="58"/>
      <c r="J18" s="58"/>
      <c r="K18" s="58"/>
      <c r="N18" s="63">
        <v>7</v>
      </c>
      <c r="O18" s="64">
        <v>0</v>
      </c>
      <c r="P18" s="65">
        <f>R7*O18</f>
        <v>0</v>
      </c>
      <c r="Q18" s="63"/>
      <c r="R18" s="64">
        <v>0</v>
      </c>
      <c r="S18" s="65">
        <f>R7*R18</f>
        <v>0</v>
      </c>
    </row>
    <row r="19" spans="1:19" ht="15" customHeight="1">
      <c r="A19" s="56"/>
      <c r="B19" s="57"/>
      <c r="C19" s="57"/>
      <c r="D19" s="57"/>
      <c r="E19" s="57"/>
      <c r="F19" s="57"/>
      <c r="G19" s="57"/>
      <c r="H19" s="57"/>
      <c r="I19" s="58"/>
      <c r="J19" s="58"/>
      <c r="K19" s="58"/>
      <c r="N19" s="63">
        <v>8</v>
      </c>
      <c r="O19" s="64">
        <v>30</v>
      </c>
      <c r="P19" s="65">
        <f>R7*O19</f>
        <v>409.61737226695595</v>
      </c>
      <c r="Q19" s="63"/>
      <c r="R19" s="64">
        <v>0</v>
      </c>
      <c r="S19" s="65">
        <f>R7*R19</f>
        <v>0</v>
      </c>
    </row>
    <row r="20" spans="1:19" ht="15" customHeight="1">
      <c r="A20" s="56"/>
      <c r="B20" s="57"/>
      <c r="C20" s="57"/>
      <c r="D20" s="57"/>
      <c r="E20" s="57"/>
      <c r="F20" s="57"/>
      <c r="G20" s="57"/>
      <c r="H20" s="57"/>
      <c r="I20" s="58"/>
      <c r="J20" s="58"/>
      <c r="K20" s="58"/>
      <c r="N20" s="63">
        <v>9</v>
      </c>
      <c r="O20" s="64">
        <v>50</v>
      </c>
      <c r="P20" s="65">
        <f>R7*O20</f>
        <v>682.69562044492659</v>
      </c>
      <c r="Q20" s="63"/>
      <c r="R20" s="64">
        <v>0</v>
      </c>
      <c r="S20" s="65">
        <f>R7*R20</f>
        <v>0</v>
      </c>
    </row>
    <row r="21" spans="1:19" ht="15" customHeight="1">
      <c r="A21" s="56"/>
      <c r="B21" s="57"/>
      <c r="C21" s="57"/>
      <c r="D21" s="57"/>
      <c r="E21" s="57"/>
      <c r="F21" s="57"/>
      <c r="G21" s="57"/>
      <c r="H21" s="57"/>
      <c r="I21" s="58"/>
      <c r="J21" s="58"/>
      <c r="K21" s="58"/>
      <c r="N21" s="68" t="s">
        <v>53</v>
      </c>
      <c r="O21" s="64">
        <v>50</v>
      </c>
      <c r="P21" s="65">
        <f>R7*O21</f>
        <v>682.69562044492659</v>
      </c>
      <c r="Q21" s="63"/>
      <c r="R21" s="64"/>
      <c r="S21" s="65">
        <f>R7*R21</f>
        <v>0</v>
      </c>
    </row>
    <row r="22" spans="1:19" ht="15" customHeight="1">
      <c r="A22" s="56"/>
      <c r="B22" s="57"/>
      <c r="C22" s="57"/>
      <c r="D22" s="57"/>
      <c r="E22" s="57"/>
      <c r="F22" s="57"/>
      <c r="G22" s="57"/>
      <c r="H22" s="57"/>
      <c r="I22" s="58"/>
      <c r="J22" s="58"/>
      <c r="K22" s="58"/>
      <c r="N22" s="59" t="s">
        <v>59</v>
      </c>
      <c r="O22" s="69">
        <f>P8-O12-O13-O14-O15-O16-O17-O18-O19-O20-O21</f>
        <v>-27.909611816792236</v>
      </c>
      <c r="P22" s="69">
        <f>Q8-P12-P13-P14-P15-P16-P17-P18-P19-P20-P21</f>
        <v>-381.07539511284062</v>
      </c>
      <c r="Q22" s="59" t="s">
        <v>59</v>
      </c>
      <c r="R22" s="69">
        <f>P8-R12-R13-R14-R15-R16-R17-R18-R19-R20-R21</f>
        <v>5.0903881832077644</v>
      </c>
      <c r="S22" s="69">
        <f>Q8-S12-S13-S14-S15-S16-S17-S18-S19-S20-S21</f>
        <v>69.503714380810948</v>
      </c>
    </row>
    <row r="23" spans="1:19" ht="15" customHeight="1">
      <c r="A23" s="56"/>
      <c r="B23" s="57"/>
      <c r="C23" s="57"/>
      <c r="D23" s="57"/>
      <c r="E23" s="57"/>
      <c r="F23" s="57"/>
      <c r="G23" s="57"/>
      <c r="H23" s="57"/>
      <c r="I23" s="58"/>
      <c r="J23" s="58"/>
      <c r="K23" s="58"/>
      <c r="N23" s="59" t="s">
        <v>60</v>
      </c>
      <c r="O23" s="62">
        <f>O12+O13+O14+O15+O16+O17+O18+O19+O20+O21</f>
        <v>130</v>
      </c>
      <c r="P23" s="62">
        <f>P12+P13+P14+P15+P16+P17+P18+P19+P20+P21</f>
        <v>1775.0086131568091</v>
      </c>
      <c r="Q23" s="59" t="s">
        <v>60</v>
      </c>
      <c r="R23" s="62">
        <f>R12+R13+R14+R15+R16+R17+R18+R19+R20+R21</f>
        <v>97</v>
      </c>
      <c r="S23" s="62">
        <f>S12+S13+S14+S15+S16+S17+S18+S19+S20+S21</f>
        <v>1324.4295036631574</v>
      </c>
    </row>
    <row r="24" spans="1:19" ht="15" customHeight="1">
      <c r="A24" s="56"/>
      <c r="B24" s="57"/>
      <c r="C24" s="57"/>
      <c r="D24" s="57"/>
      <c r="E24" s="57"/>
      <c r="F24" s="57"/>
      <c r="G24" s="57"/>
      <c r="H24" s="57"/>
      <c r="I24" s="58"/>
      <c r="J24" s="58"/>
      <c r="K24" s="58"/>
    </row>
    <row r="25" spans="1:19" ht="15" customHeight="1">
      <c r="A25" s="56"/>
      <c r="B25" s="57"/>
      <c r="C25" s="57"/>
      <c r="D25" s="57"/>
      <c r="E25" s="57"/>
      <c r="F25" s="57"/>
      <c r="G25" s="57"/>
      <c r="H25" s="57"/>
      <c r="I25" s="58"/>
      <c r="J25" s="58"/>
      <c r="K25" s="58"/>
    </row>
    <row r="26" spans="1:19" ht="15" customHeight="1">
      <c r="A26" s="56"/>
      <c r="B26" s="57"/>
      <c r="C26" s="57"/>
      <c r="D26" s="57"/>
      <c r="E26" s="57"/>
      <c r="F26" s="57"/>
      <c r="G26" s="57"/>
      <c r="H26" s="57"/>
      <c r="I26" s="58"/>
      <c r="J26" s="58"/>
      <c r="K26" s="58"/>
    </row>
    <row r="27" spans="1:19" ht="15" customHeight="1">
      <c r="A27" s="56"/>
      <c r="B27" s="57"/>
      <c r="C27" s="57"/>
      <c r="D27" s="57"/>
      <c r="E27" s="57"/>
      <c r="F27" s="57"/>
      <c r="G27" s="57"/>
      <c r="H27" s="57"/>
      <c r="I27" s="58"/>
      <c r="J27" s="58"/>
      <c r="K27" s="58"/>
    </row>
    <row r="28" spans="1:19" ht="15" customHeight="1">
      <c r="A28" s="56"/>
      <c r="B28" s="57"/>
      <c r="C28" s="57"/>
      <c r="D28" s="57"/>
      <c r="E28" s="57"/>
      <c r="F28" s="57"/>
      <c r="G28" s="57"/>
      <c r="H28" s="57"/>
      <c r="I28" s="58"/>
      <c r="J28" s="58"/>
      <c r="K28" s="58"/>
    </row>
    <row r="29" spans="1:19" ht="15" customHeight="1">
      <c r="A29" s="56"/>
      <c r="B29" s="57"/>
      <c r="C29" s="57"/>
      <c r="D29" s="57"/>
      <c r="E29" s="57"/>
      <c r="F29" s="57"/>
      <c r="G29" s="57"/>
      <c r="H29" s="57"/>
      <c r="I29" s="58"/>
      <c r="J29" s="58"/>
      <c r="K29" s="58"/>
    </row>
    <row r="30" spans="1:19" ht="15" customHeight="1">
      <c r="A30" s="56"/>
      <c r="B30" s="57"/>
      <c r="C30" s="57"/>
      <c r="D30" s="57"/>
      <c r="E30" s="57"/>
      <c r="F30" s="57"/>
      <c r="G30" s="57"/>
      <c r="H30" s="57"/>
      <c r="I30" s="58"/>
      <c r="J30" s="58"/>
      <c r="K30" s="58"/>
    </row>
    <row r="31" spans="1:19" ht="15" customHeight="1">
      <c r="A31" s="56"/>
      <c r="B31" s="57"/>
      <c r="C31" s="57"/>
      <c r="D31" s="57"/>
      <c r="E31" s="57"/>
      <c r="F31" s="57"/>
      <c r="G31" s="57"/>
      <c r="H31" s="57"/>
      <c r="I31" s="58"/>
      <c r="J31" s="70"/>
      <c r="K31" s="70"/>
    </row>
    <row r="32" spans="1:19" ht="15" customHeight="1">
      <c r="A32" s="56"/>
      <c r="B32" s="57"/>
      <c r="C32" s="57"/>
      <c r="D32" s="57"/>
      <c r="E32" s="57"/>
      <c r="F32" s="57"/>
      <c r="G32" s="57"/>
      <c r="H32" s="57"/>
      <c r="I32" s="58"/>
      <c r="J32" s="70"/>
      <c r="K32" s="70"/>
    </row>
    <row r="33" spans="1:11" ht="15" customHeight="1">
      <c r="A33" s="56"/>
      <c r="B33" s="57"/>
      <c r="C33" s="57"/>
      <c r="D33" s="57"/>
      <c r="E33" s="57"/>
      <c r="F33" s="57"/>
      <c r="G33" s="57"/>
      <c r="H33" s="57"/>
      <c r="I33" s="58"/>
      <c r="J33" s="70"/>
      <c r="K33" s="70"/>
    </row>
    <row r="34" spans="1:11" ht="15" customHeight="1">
      <c r="A34" s="56"/>
      <c r="B34" s="57"/>
      <c r="C34" s="57"/>
      <c r="D34" s="57"/>
      <c r="E34" s="57"/>
      <c r="F34" s="57"/>
      <c r="G34" s="57"/>
      <c r="H34" s="57"/>
      <c r="I34" s="58"/>
      <c r="J34" s="70"/>
      <c r="K34" s="70"/>
    </row>
    <row r="35" spans="1:11" ht="15" customHeight="1">
      <c r="A35" s="56"/>
      <c r="B35" s="57"/>
      <c r="C35" s="57"/>
      <c r="D35" s="57"/>
      <c r="E35" s="57"/>
      <c r="F35" s="57"/>
      <c r="G35" s="57"/>
      <c r="H35" s="57"/>
      <c r="I35" s="58"/>
      <c r="J35" s="70"/>
      <c r="K35" s="70"/>
    </row>
    <row r="36" spans="1:11" ht="15" customHeight="1">
      <c r="A36" s="56"/>
      <c r="B36" s="57"/>
      <c r="C36" s="57"/>
      <c r="D36" s="57"/>
      <c r="E36" s="57"/>
      <c r="F36" s="57"/>
      <c r="G36" s="57"/>
      <c r="H36" s="57"/>
      <c r="I36" s="58"/>
      <c r="J36" s="70"/>
      <c r="K36" s="70"/>
    </row>
    <row r="37" spans="1:11" ht="15" customHeight="1">
      <c r="A37" s="56"/>
      <c r="B37" s="57"/>
      <c r="C37" s="57"/>
      <c r="D37" s="57"/>
      <c r="E37" s="57"/>
      <c r="F37" s="57"/>
      <c r="G37" s="57"/>
      <c r="H37" s="57"/>
      <c r="I37" s="58"/>
      <c r="J37" s="70"/>
      <c r="K37" s="70"/>
    </row>
    <row r="38" spans="1:11" ht="15" customHeight="1">
      <c r="A38" s="56"/>
      <c r="B38" s="57"/>
      <c r="C38" s="57"/>
      <c r="D38" s="57"/>
      <c r="E38" s="57"/>
      <c r="F38" s="57"/>
      <c r="G38" s="57"/>
      <c r="H38" s="57"/>
      <c r="I38" s="58"/>
      <c r="J38" s="70"/>
      <c r="K38" s="70"/>
    </row>
    <row r="39" spans="1:11" ht="15" customHeight="1">
      <c r="A39" s="66"/>
      <c r="B39" s="67"/>
      <c r="C39" s="67"/>
      <c r="D39" s="67"/>
      <c r="E39" s="67"/>
      <c r="F39" s="67"/>
      <c r="G39" s="67"/>
      <c r="H39" s="67"/>
      <c r="I39" s="58"/>
      <c r="J39" s="70"/>
      <c r="K39" s="70"/>
    </row>
    <row r="40" spans="1:11" ht="15" customHeight="1">
      <c r="A40" s="66"/>
      <c r="B40" s="67"/>
      <c r="C40" s="67"/>
      <c r="D40" s="67"/>
      <c r="E40" s="67"/>
      <c r="F40" s="67"/>
      <c r="G40" s="67"/>
      <c r="H40" s="67"/>
      <c r="I40" s="70"/>
      <c r="J40" s="70"/>
      <c r="K40" s="70"/>
    </row>
    <row r="41" spans="1:11" ht="15" customHeight="1">
      <c r="A41" s="66"/>
      <c r="B41" s="67"/>
      <c r="C41" s="67"/>
      <c r="D41" s="67"/>
      <c r="E41" s="67"/>
      <c r="F41" s="67"/>
      <c r="G41" s="67"/>
      <c r="H41" s="67"/>
      <c r="I41" s="70"/>
      <c r="J41" s="70"/>
      <c r="K41" s="70"/>
    </row>
    <row r="42" spans="1:11" ht="15" customHeight="1">
      <c r="A42" s="66"/>
      <c r="B42" s="67"/>
      <c r="C42" s="67"/>
      <c r="D42" s="67"/>
      <c r="E42" s="67"/>
      <c r="F42" s="67"/>
      <c r="G42" s="67"/>
      <c r="H42" s="67"/>
      <c r="I42" s="70"/>
      <c r="J42" s="70"/>
      <c r="K42" s="70"/>
    </row>
    <row r="43" spans="1:11" ht="15" customHeight="1">
      <c r="A43" s="66"/>
      <c r="B43" s="67"/>
      <c r="C43" s="67"/>
      <c r="D43" s="67"/>
      <c r="E43" s="67"/>
      <c r="F43" s="67"/>
      <c r="G43" s="67"/>
      <c r="H43" s="67"/>
      <c r="I43" s="70"/>
      <c r="J43" s="70"/>
      <c r="K43" s="70"/>
    </row>
    <row r="44" spans="1:11" ht="15" customHeight="1">
      <c r="A44" s="66"/>
      <c r="B44" s="67"/>
      <c r="C44" s="67"/>
      <c r="D44" s="67"/>
      <c r="E44" s="67"/>
      <c r="F44" s="67"/>
      <c r="G44" s="67"/>
      <c r="H44" s="67"/>
      <c r="I44" s="70"/>
      <c r="J44" s="70"/>
      <c r="K44" s="70"/>
    </row>
    <row r="45" spans="1:11" ht="15" customHeight="1">
      <c r="A45" s="66"/>
      <c r="B45" s="67"/>
      <c r="C45" s="67"/>
      <c r="D45" s="67"/>
      <c r="E45" s="67"/>
      <c r="F45" s="67"/>
      <c r="G45" s="67"/>
      <c r="H45" s="67"/>
      <c r="I45" s="70"/>
      <c r="J45" s="70"/>
      <c r="K45" s="70"/>
    </row>
    <row r="46" spans="1:11" ht="15" customHeight="1">
      <c r="A46" s="66"/>
      <c r="B46" s="67"/>
      <c r="C46" s="67"/>
      <c r="D46" s="67"/>
      <c r="E46" s="67"/>
      <c r="F46" s="67"/>
      <c r="G46" s="67"/>
      <c r="H46" s="67"/>
      <c r="I46" s="70"/>
      <c r="J46" s="70"/>
      <c r="K46" s="70"/>
    </row>
    <row r="47" spans="1:11" ht="15" customHeight="1">
      <c r="A47" s="66"/>
      <c r="B47" s="67"/>
      <c r="C47" s="67"/>
      <c r="D47" s="67"/>
      <c r="E47" s="67"/>
      <c r="F47" s="67"/>
      <c r="G47" s="67"/>
      <c r="H47" s="67"/>
      <c r="I47" s="70"/>
      <c r="J47" s="70"/>
      <c r="K47" s="70"/>
    </row>
    <row r="48" spans="1:11" ht="15" customHeight="1">
      <c r="A48" s="66"/>
      <c r="B48" s="67"/>
      <c r="C48" s="67"/>
      <c r="D48" s="67"/>
      <c r="E48" s="67"/>
      <c r="F48" s="67"/>
      <c r="G48" s="67"/>
      <c r="H48" s="67"/>
      <c r="I48" s="70"/>
      <c r="J48" s="70"/>
      <c r="K48" s="70"/>
    </row>
    <row r="49" spans="1:19" ht="15" customHeight="1">
      <c r="A49" s="66"/>
      <c r="B49" s="67"/>
      <c r="C49" s="67"/>
      <c r="D49" s="67"/>
      <c r="E49" s="67"/>
      <c r="F49" s="67"/>
      <c r="G49" s="67"/>
      <c r="H49" s="67"/>
      <c r="I49" s="70"/>
      <c r="J49" s="70"/>
      <c r="K49" s="70"/>
    </row>
    <row r="50" spans="1:19" ht="15" customHeight="1">
      <c r="A50" s="67"/>
      <c r="B50" s="67"/>
      <c r="C50" s="67"/>
      <c r="D50" s="67"/>
      <c r="E50" s="67"/>
      <c r="F50" s="67"/>
      <c r="G50" s="67"/>
      <c r="H50" s="67"/>
      <c r="I50" s="70"/>
      <c r="J50" s="70"/>
      <c r="K50" s="70"/>
    </row>
    <row r="51" spans="1:19" ht="15" customHeight="1">
      <c r="A51" s="67"/>
      <c r="B51" s="67"/>
      <c r="C51" s="67"/>
      <c r="D51" s="67"/>
      <c r="E51" s="67"/>
      <c r="F51" s="67"/>
      <c r="G51" s="67"/>
      <c r="H51" s="67"/>
      <c r="I51" s="58"/>
      <c r="J51" s="70"/>
      <c r="K51" s="70"/>
    </row>
    <row r="52" spans="1:19" ht="15" customHeight="1">
      <c r="I52" s="71"/>
    </row>
    <row r="55" spans="1:19" ht="15" customHeight="1">
      <c r="N55" s="67"/>
      <c r="O55" s="67"/>
      <c r="P55" s="67"/>
      <c r="Q55" s="67"/>
      <c r="R55" s="67"/>
      <c r="S55" s="67"/>
    </row>
    <row r="56" spans="1:19" ht="15" customHeight="1">
      <c r="N56" s="72"/>
      <c r="O56" s="72"/>
      <c r="P56" s="72"/>
      <c r="Q56" s="72"/>
      <c r="R56" s="72"/>
      <c r="S56" s="72"/>
    </row>
    <row r="58" spans="1:19" ht="15.75" customHeight="1"/>
    <row r="59" spans="1:19" ht="15.75" customHeight="1"/>
    <row r="60" spans="1:19" ht="15.75" customHeight="1"/>
    <row r="61" spans="1:19" ht="15.75" customHeight="1"/>
    <row r="62" spans="1:19" ht="15.75" customHeight="1"/>
    <row r="63" spans="1:19" ht="15.75" customHeight="1"/>
    <row r="64" spans="1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orientation="landscape"/>
</worksheet>
</file>

<file path=xl/worksheets/sheet77.xml><?xml version="1.0" encoding="utf-8"?>
<worksheet xmlns="http://schemas.openxmlformats.org/spreadsheetml/2006/main" xmlns:r="http://schemas.openxmlformats.org/officeDocument/2006/relationships">
  <sheetPr codeName="Лист63"/>
  <dimension ref="A1:S40"/>
  <sheetViews>
    <sheetView workbookViewId="0">
      <selection activeCell="I11" sqref="I11"/>
    </sheetView>
  </sheetViews>
  <sheetFormatPr defaultRowHeight="15"/>
  <cols>
    <col min="1" max="1" width="10.140625" style="49" bestFit="1" customWidth="1"/>
    <col min="2" max="16384" width="9.140625" style="49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185</v>
      </c>
    </row>
    <row r="3" spans="1:19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9">
      <c r="A4" s="73" t="s">
        <v>66</v>
      </c>
      <c r="B4" s="73" t="s">
        <v>111</v>
      </c>
      <c r="C4" s="510">
        <f>AVERAGEA(I7:I40)</f>
        <v>0.45182848573984902</v>
      </c>
      <c r="D4" s="511"/>
      <c r="E4" s="510">
        <f>AVERAGEA(J7:J40)</f>
        <v>13.427413544310095</v>
      </c>
      <c r="F4" s="511"/>
      <c r="G4" s="510">
        <f>AVERAGEA(K7:K40)</f>
        <v>1.405851738082013</v>
      </c>
      <c r="H4" s="511"/>
      <c r="I4" s="74">
        <f>C4*K2</f>
        <v>83.588269861872064</v>
      </c>
      <c r="J4" s="74">
        <f>I4*E4</f>
        <v>1122.3742668887483</v>
      </c>
      <c r="K4" s="74">
        <f>K2*G4</f>
        <v>260.08257154517241</v>
      </c>
    </row>
    <row r="5" spans="1:19" ht="15" customHeight="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20"/>
      <c r="B6" s="520"/>
      <c r="C6" s="520"/>
      <c r="D6" s="520"/>
      <c r="E6" s="520"/>
      <c r="F6" s="54" t="s">
        <v>20</v>
      </c>
      <c r="G6" s="55" t="s">
        <v>21</v>
      </c>
      <c r="H6" s="520"/>
      <c r="I6" s="520"/>
      <c r="J6" s="520"/>
      <c r="K6" s="520"/>
      <c r="N6" s="520"/>
      <c r="O6" s="520"/>
      <c r="P6" s="520"/>
      <c r="Q6" s="520"/>
      <c r="R6" s="520"/>
      <c r="S6" s="520"/>
    </row>
    <row r="7" spans="1:19" ht="15.75">
      <c r="A7" s="56">
        <v>46205</v>
      </c>
      <c r="B7" s="57" t="s">
        <v>148</v>
      </c>
      <c r="C7" s="57" t="s">
        <v>73</v>
      </c>
      <c r="D7" s="57">
        <v>98</v>
      </c>
      <c r="E7" s="57">
        <v>24</v>
      </c>
      <c r="F7" s="57">
        <v>45</v>
      </c>
      <c r="G7" s="57">
        <v>579</v>
      </c>
      <c r="H7" s="57">
        <v>160</v>
      </c>
      <c r="I7" s="58">
        <f t="shared" ref="I7:I11" si="0">F7/(D7+E7)</f>
        <v>0.36885245901639346</v>
      </c>
      <c r="J7" s="58">
        <f t="shared" ref="J7:J11" si="1">G7/F7</f>
        <v>12.866666666666667</v>
      </c>
      <c r="K7" s="58">
        <f t="shared" ref="K7:K11" si="2">H7/(D7+E7)</f>
        <v>1.3114754098360655</v>
      </c>
      <c r="N7" s="59" t="s">
        <v>49</v>
      </c>
      <c r="O7" s="60">
        <f>K2</f>
        <v>185</v>
      </c>
      <c r="P7" s="61">
        <f>I4</f>
        <v>83.588269861872064</v>
      </c>
      <c r="Q7" s="61">
        <f>J4</f>
        <v>1122.3742668887483</v>
      </c>
      <c r="R7" s="539">
        <f>Q7/P7</f>
        <v>13.427413544310095</v>
      </c>
      <c r="S7" s="539">
        <f>P7/O7</f>
        <v>0.45182848573984902</v>
      </c>
    </row>
    <row r="8" spans="1:19" ht="15.75">
      <c r="A8" s="56">
        <v>46209</v>
      </c>
      <c r="B8" s="57" t="s">
        <v>148</v>
      </c>
      <c r="C8" s="57" t="s">
        <v>73</v>
      </c>
      <c r="D8" s="57">
        <v>149</v>
      </c>
      <c r="E8" s="57">
        <v>22</v>
      </c>
      <c r="F8" s="57">
        <v>87</v>
      </c>
      <c r="G8" s="57">
        <v>1098</v>
      </c>
      <c r="H8" s="57">
        <v>247</v>
      </c>
      <c r="I8" s="58">
        <f t="shared" si="0"/>
        <v>0.50877192982456143</v>
      </c>
      <c r="J8" s="58">
        <f t="shared" si="1"/>
        <v>12.620689655172415</v>
      </c>
      <c r="K8" s="58">
        <f t="shared" si="2"/>
        <v>1.4444444444444444</v>
      </c>
      <c r="N8" s="59" t="s">
        <v>50</v>
      </c>
      <c r="O8" s="60">
        <f>O7</f>
        <v>185</v>
      </c>
      <c r="P8" s="62">
        <f>O8*S7</f>
        <v>83.588269861872064</v>
      </c>
      <c r="Q8" s="62">
        <f>P8*R7</f>
        <v>1122.3742668887483</v>
      </c>
      <c r="R8" s="520"/>
      <c r="S8" s="520"/>
    </row>
    <row r="9" spans="1:19">
      <c r="A9" s="56">
        <v>46212</v>
      </c>
      <c r="B9" s="57" t="s">
        <v>148</v>
      </c>
      <c r="C9" s="57" t="s">
        <v>73</v>
      </c>
      <c r="D9" s="57">
        <v>177</v>
      </c>
      <c r="E9" s="57">
        <v>34</v>
      </c>
      <c r="F9" s="57">
        <v>88</v>
      </c>
      <c r="G9" s="57">
        <v>1234</v>
      </c>
      <c r="H9" s="57">
        <v>404</v>
      </c>
      <c r="I9" s="58">
        <f t="shared" si="0"/>
        <v>0.41706161137440756</v>
      </c>
      <c r="J9" s="58">
        <f t="shared" si="1"/>
        <v>14.022727272727273</v>
      </c>
      <c r="K9" s="58">
        <f t="shared" si="2"/>
        <v>1.9146919431279621</v>
      </c>
      <c r="N9" s="521" t="s">
        <v>51</v>
      </c>
      <c r="O9" s="516"/>
      <c r="P9" s="516"/>
      <c r="Q9" s="516"/>
      <c r="R9" s="516"/>
      <c r="S9" s="511"/>
    </row>
    <row r="10" spans="1:19">
      <c r="A10" s="56">
        <v>46216</v>
      </c>
      <c r="B10" s="57" t="s">
        <v>148</v>
      </c>
      <c r="C10" s="57" t="s">
        <v>73</v>
      </c>
      <c r="D10" s="57">
        <v>155</v>
      </c>
      <c r="E10" s="57">
        <v>44</v>
      </c>
      <c r="F10" s="57">
        <v>90</v>
      </c>
      <c r="G10" s="57">
        <v>1235</v>
      </c>
      <c r="H10" s="57">
        <v>150</v>
      </c>
      <c r="I10" s="58">
        <f t="shared" si="0"/>
        <v>0.45226130653266333</v>
      </c>
      <c r="J10" s="58">
        <f t="shared" si="1"/>
        <v>13.722222222222221</v>
      </c>
      <c r="K10" s="58">
        <f t="shared" si="2"/>
        <v>0.75376884422110557</v>
      </c>
      <c r="N10" s="521" t="s">
        <v>52</v>
      </c>
      <c r="O10" s="516"/>
      <c r="P10" s="511"/>
      <c r="Q10" s="521" t="s">
        <v>53</v>
      </c>
      <c r="R10" s="516"/>
      <c r="S10" s="511"/>
    </row>
    <row r="11" spans="1:19">
      <c r="A11" s="56">
        <v>46219</v>
      </c>
      <c r="B11" s="57" t="s">
        <v>148</v>
      </c>
      <c r="C11" s="57" t="s">
        <v>73</v>
      </c>
      <c r="D11" s="57">
        <v>176</v>
      </c>
      <c r="E11" s="57">
        <v>29</v>
      </c>
      <c r="F11" s="57">
        <v>105</v>
      </c>
      <c r="G11" s="57">
        <v>1460</v>
      </c>
      <c r="H11" s="57">
        <v>329</v>
      </c>
      <c r="I11" s="58">
        <f t="shared" si="0"/>
        <v>0.51219512195121952</v>
      </c>
      <c r="J11" s="58">
        <f t="shared" si="1"/>
        <v>13.904761904761905</v>
      </c>
      <c r="K11" s="58">
        <f t="shared" si="2"/>
        <v>1.6048780487804879</v>
      </c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.75">
      <c r="A12" s="56"/>
      <c r="B12" s="57"/>
      <c r="C12" s="57"/>
      <c r="D12" s="57"/>
      <c r="E12" s="57"/>
      <c r="F12" s="57"/>
      <c r="G12" s="57"/>
      <c r="H12" s="57"/>
      <c r="I12" s="58"/>
      <c r="J12" s="58"/>
      <c r="K12" s="58"/>
      <c r="N12" s="63">
        <v>1</v>
      </c>
      <c r="O12" s="64">
        <v>0</v>
      </c>
      <c r="P12" s="65">
        <f>O12*R7</f>
        <v>0</v>
      </c>
      <c r="Q12" s="63">
        <v>3</v>
      </c>
      <c r="R12" s="64">
        <v>40</v>
      </c>
      <c r="S12" s="65">
        <f>R12*R7</f>
        <v>537.09654177240384</v>
      </c>
    </row>
    <row r="13" spans="1:19" ht="15.75">
      <c r="A13" s="56"/>
      <c r="B13" s="57"/>
      <c r="C13" s="57"/>
      <c r="D13" s="57"/>
      <c r="E13" s="57"/>
      <c r="F13" s="57"/>
      <c r="G13" s="57"/>
      <c r="H13" s="57"/>
      <c r="I13" s="58"/>
      <c r="J13" s="58"/>
      <c r="K13" s="58"/>
      <c r="N13" s="63">
        <v>2</v>
      </c>
      <c r="O13" s="64">
        <v>0</v>
      </c>
      <c r="P13" s="65">
        <f>O13*R7</f>
        <v>0</v>
      </c>
      <c r="Q13" s="63">
        <v>4</v>
      </c>
      <c r="R13" s="64">
        <v>29</v>
      </c>
      <c r="S13" s="65">
        <f>R7*R13</f>
        <v>389.39499278499278</v>
      </c>
    </row>
    <row r="14" spans="1:19" ht="15.75">
      <c r="A14" s="56"/>
      <c r="B14" s="57"/>
      <c r="C14" s="57"/>
      <c r="D14" s="57"/>
      <c r="E14" s="57"/>
      <c r="F14" s="57"/>
      <c r="G14" s="57"/>
      <c r="H14" s="57"/>
      <c r="I14" s="58"/>
      <c r="J14" s="58"/>
      <c r="K14" s="58"/>
      <c r="N14" s="63">
        <v>3</v>
      </c>
      <c r="O14" s="64">
        <v>0</v>
      </c>
      <c r="P14" s="65">
        <f>R7*O14</f>
        <v>0</v>
      </c>
      <c r="Q14" s="63">
        <v>5</v>
      </c>
      <c r="R14" s="64">
        <v>0</v>
      </c>
      <c r="S14" s="65">
        <f>R14*R7</f>
        <v>0</v>
      </c>
    </row>
    <row r="15" spans="1:19" ht="15.75">
      <c r="A15" s="56"/>
      <c r="B15" s="57"/>
      <c r="C15" s="57"/>
      <c r="D15" s="57"/>
      <c r="E15" s="57"/>
      <c r="F15" s="57"/>
      <c r="G15" s="57"/>
      <c r="H15" s="57"/>
      <c r="I15" s="58"/>
      <c r="J15" s="58"/>
      <c r="K15" s="58"/>
      <c r="N15" s="63">
        <v>4</v>
      </c>
      <c r="O15" s="64">
        <v>0</v>
      </c>
      <c r="P15" s="65">
        <f>R7*O15</f>
        <v>0</v>
      </c>
      <c r="Q15" s="63">
        <v>1</v>
      </c>
      <c r="R15" s="64">
        <v>0</v>
      </c>
      <c r="S15" s="65">
        <f>R7*R15</f>
        <v>0</v>
      </c>
    </row>
    <row r="16" spans="1:19" ht="15.75">
      <c r="A16" s="56"/>
      <c r="B16" s="57"/>
      <c r="C16" s="57"/>
      <c r="D16" s="57"/>
      <c r="E16" s="57"/>
      <c r="F16" s="57"/>
      <c r="G16" s="57"/>
      <c r="H16" s="57"/>
      <c r="I16" s="58"/>
      <c r="J16" s="58"/>
      <c r="K16" s="58"/>
      <c r="N16" s="63">
        <v>5</v>
      </c>
      <c r="O16" s="64">
        <v>0</v>
      </c>
      <c r="P16" s="65">
        <f>R7*O16</f>
        <v>0</v>
      </c>
      <c r="Q16" s="63"/>
      <c r="R16" s="64">
        <v>0</v>
      </c>
      <c r="S16" s="65">
        <f>R7*R16</f>
        <v>0</v>
      </c>
    </row>
    <row r="17" spans="1:19" ht="15.75">
      <c r="A17" s="56"/>
      <c r="B17" s="57"/>
      <c r="C17" s="57"/>
      <c r="D17" s="57"/>
      <c r="E17" s="57"/>
      <c r="F17" s="57"/>
      <c r="G17" s="57"/>
      <c r="H17" s="57"/>
      <c r="I17" s="58"/>
      <c r="J17" s="58"/>
      <c r="K17" s="58"/>
      <c r="N17" s="63">
        <v>6</v>
      </c>
      <c r="O17" s="64">
        <v>0</v>
      </c>
      <c r="P17" s="65">
        <f>R7*O17</f>
        <v>0</v>
      </c>
      <c r="Q17" s="63"/>
      <c r="R17" s="64">
        <v>0</v>
      </c>
      <c r="S17" s="65">
        <f>R7*R17</f>
        <v>0</v>
      </c>
    </row>
    <row r="18" spans="1:19" ht="15.75">
      <c r="A18" s="56"/>
      <c r="B18" s="57"/>
      <c r="C18" s="57"/>
      <c r="D18" s="57"/>
      <c r="E18" s="57"/>
      <c r="F18" s="57"/>
      <c r="G18" s="57"/>
      <c r="H18" s="57"/>
      <c r="I18" s="58"/>
      <c r="J18" s="58"/>
      <c r="K18" s="58"/>
      <c r="N18" s="63">
        <v>7</v>
      </c>
      <c r="O18" s="64">
        <v>0</v>
      </c>
      <c r="P18" s="65">
        <f>R7*O18</f>
        <v>0</v>
      </c>
      <c r="Q18" s="63"/>
      <c r="R18" s="64">
        <v>0</v>
      </c>
      <c r="S18" s="65">
        <f>R7*R18</f>
        <v>0</v>
      </c>
    </row>
    <row r="19" spans="1:19" ht="15.75">
      <c r="A19" s="56"/>
      <c r="B19" s="57"/>
      <c r="C19" s="57"/>
      <c r="D19" s="57"/>
      <c r="E19" s="57"/>
      <c r="F19" s="57"/>
      <c r="G19" s="57"/>
      <c r="H19" s="57"/>
      <c r="I19" s="58"/>
      <c r="J19" s="58"/>
      <c r="K19" s="58"/>
      <c r="N19" s="63">
        <v>8</v>
      </c>
      <c r="O19" s="64">
        <v>0</v>
      </c>
      <c r="P19" s="65">
        <f>R7*O19</f>
        <v>0</v>
      </c>
      <c r="Q19" s="63"/>
      <c r="R19" s="64">
        <v>0</v>
      </c>
      <c r="S19" s="65">
        <f>R7*R19</f>
        <v>0</v>
      </c>
    </row>
    <row r="20" spans="1:19" ht="15.75">
      <c r="A20" s="56"/>
      <c r="B20" s="57"/>
      <c r="C20" s="57"/>
      <c r="D20" s="57"/>
      <c r="E20" s="57"/>
      <c r="F20" s="57"/>
      <c r="G20" s="57"/>
      <c r="H20" s="57"/>
      <c r="I20" s="58"/>
      <c r="J20" s="70"/>
      <c r="K20" s="70"/>
      <c r="N20" s="63">
        <v>9</v>
      </c>
      <c r="O20" s="64">
        <v>0</v>
      </c>
      <c r="P20" s="65">
        <f>R7*O20</f>
        <v>0</v>
      </c>
      <c r="Q20" s="63"/>
      <c r="R20" s="64">
        <v>0</v>
      </c>
      <c r="S20" s="65">
        <f>R7*R20</f>
        <v>0</v>
      </c>
    </row>
    <row r="21" spans="1:19" ht="15.75">
      <c r="A21" s="56"/>
      <c r="B21" s="57"/>
      <c r="C21" s="57"/>
      <c r="D21" s="57"/>
      <c r="E21" s="57"/>
      <c r="F21" s="57"/>
      <c r="G21" s="57"/>
      <c r="H21" s="57"/>
      <c r="I21" s="58"/>
      <c r="J21" s="70"/>
      <c r="K21" s="70"/>
      <c r="N21" s="68" t="s">
        <v>53</v>
      </c>
      <c r="O21" s="64">
        <v>0</v>
      </c>
      <c r="P21" s="65">
        <f>R7*O21</f>
        <v>0</v>
      </c>
      <c r="Q21" s="63"/>
      <c r="R21" s="64"/>
      <c r="S21" s="65">
        <f>R7*R21</f>
        <v>0</v>
      </c>
    </row>
    <row r="22" spans="1:19" ht="15.75">
      <c r="A22" s="56"/>
      <c r="B22" s="57"/>
      <c r="C22" s="57"/>
      <c r="D22" s="57"/>
      <c r="E22" s="57"/>
      <c r="F22" s="57"/>
      <c r="G22" s="57"/>
      <c r="H22" s="57"/>
      <c r="I22" s="58"/>
      <c r="J22" s="70"/>
      <c r="K22" s="70"/>
      <c r="N22" s="59" t="s">
        <v>59</v>
      </c>
      <c r="O22" s="69">
        <f>P8-O12-O13-O14-O15-O16-O17-O18-O19-O20-O21</f>
        <v>83.588269861872064</v>
      </c>
      <c r="P22" s="69">
        <f>Q8-P12-P13-P14-P15-P16-P17-P18-P19-P20-P21</f>
        <v>1122.3742668887483</v>
      </c>
      <c r="Q22" s="59" t="s">
        <v>59</v>
      </c>
      <c r="R22" s="69">
        <f>P8-R12-R13-R14-R15-R16-R17-R18-R19-R20-R21</f>
        <v>14.588269861872064</v>
      </c>
      <c r="S22" s="69">
        <f>Q8-S12-S13-S14-S15-S16-S17-S18-S19-S20-S21</f>
        <v>195.88273233135163</v>
      </c>
    </row>
    <row r="23" spans="1:19">
      <c r="A23" s="56"/>
      <c r="B23" s="57"/>
      <c r="C23" s="57"/>
      <c r="D23" s="57"/>
      <c r="E23" s="57"/>
      <c r="F23" s="57"/>
      <c r="G23" s="57"/>
      <c r="H23" s="57"/>
      <c r="I23" s="58"/>
      <c r="J23" s="70"/>
      <c r="K23" s="70"/>
      <c r="N23" s="59" t="s">
        <v>60</v>
      </c>
      <c r="O23" s="62">
        <f>O12+O13+O14+O15+O16+O17+O18+O19+O20+O21</f>
        <v>0</v>
      </c>
      <c r="P23" s="62">
        <f>P12+P13+P14+P15+P16+P17+P18+P19+P20+P21</f>
        <v>0</v>
      </c>
      <c r="Q23" s="59" t="s">
        <v>60</v>
      </c>
      <c r="R23" s="62">
        <f>R12+R13+R14+R15+R16+R17+R18+R19+R20+R21</f>
        <v>69</v>
      </c>
      <c r="S23" s="62">
        <f>S12+S13+S14+S15+S16+S17+S18+S19+S20+S21</f>
        <v>926.49153455739656</v>
      </c>
    </row>
    <row r="24" spans="1:19">
      <c r="A24" s="56"/>
      <c r="B24" s="57"/>
      <c r="C24" s="57"/>
      <c r="D24" s="57"/>
      <c r="E24" s="57"/>
      <c r="F24" s="57"/>
      <c r="G24" s="57"/>
      <c r="H24" s="57"/>
      <c r="I24" s="58"/>
      <c r="J24" s="70"/>
      <c r="K24" s="70"/>
    </row>
    <row r="25" spans="1:19">
      <c r="A25" s="56"/>
      <c r="B25" s="57"/>
      <c r="C25" s="57"/>
      <c r="D25" s="57"/>
      <c r="E25" s="57"/>
      <c r="F25" s="57"/>
      <c r="G25" s="57"/>
      <c r="H25" s="57"/>
      <c r="I25" s="58"/>
      <c r="J25" s="70"/>
      <c r="K25" s="70"/>
    </row>
    <row r="26" spans="1:19">
      <c r="A26" s="56"/>
      <c r="B26" s="57"/>
      <c r="C26" s="57"/>
      <c r="D26" s="57"/>
      <c r="E26" s="57"/>
      <c r="F26" s="57"/>
      <c r="G26" s="57"/>
      <c r="H26" s="57"/>
      <c r="I26" s="58"/>
      <c r="J26" s="70"/>
      <c r="K26" s="70"/>
    </row>
    <row r="27" spans="1:19">
      <c r="A27" s="56"/>
      <c r="B27" s="57"/>
      <c r="C27" s="57"/>
      <c r="D27" s="57"/>
      <c r="E27" s="57"/>
      <c r="F27" s="57"/>
      <c r="G27" s="57"/>
      <c r="H27" s="57"/>
      <c r="I27" s="58"/>
      <c r="J27" s="70"/>
      <c r="K27" s="70"/>
    </row>
    <row r="28" spans="1:19">
      <c r="A28" s="66"/>
      <c r="B28" s="67"/>
      <c r="C28" s="67"/>
      <c r="D28" s="67"/>
      <c r="E28" s="67"/>
      <c r="F28" s="67"/>
      <c r="G28" s="67"/>
      <c r="H28" s="67"/>
      <c r="I28" s="58"/>
      <c r="J28" s="70"/>
      <c r="K28" s="70"/>
    </row>
    <row r="29" spans="1:19">
      <c r="A29" s="66"/>
      <c r="B29" s="67"/>
      <c r="C29" s="67"/>
      <c r="D29" s="67"/>
      <c r="E29" s="67"/>
      <c r="F29" s="67"/>
      <c r="G29" s="67"/>
      <c r="H29" s="67"/>
      <c r="I29" s="70"/>
      <c r="J29" s="70"/>
      <c r="K29" s="70"/>
    </row>
    <row r="30" spans="1:19">
      <c r="A30" s="66"/>
      <c r="B30" s="67"/>
      <c r="C30" s="67"/>
      <c r="D30" s="67"/>
      <c r="E30" s="67"/>
      <c r="F30" s="67"/>
      <c r="G30" s="67"/>
      <c r="H30" s="67"/>
      <c r="I30" s="70"/>
      <c r="J30" s="70"/>
      <c r="K30" s="70"/>
    </row>
    <row r="31" spans="1:19">
      <c r="A31" s="66"/>
      <c r="B31" s="67"/>
      <c r="C31" s="67"/>
      <c r="D31" s="67"/>
      <c r="E31" s="67"/>
      <c r="F31" s="67"/>
      <c r="G31" s="67"/>
      <c r="H31" s="67"/>
      <c r="I31" s="70"/>
      <c r="J31" s="70"/>
      <c r="K31" s="70"/>
    </row>
    <row r="32" spans="1:19">
      <c r="A32" s="66"/>
      <c r="B32" s="67"/>
      <c r="C32" s="67"/>
      <c r="D32" s="67"/>
      <c r="E32" s="67"/>
      <c r="F32" s="67"/>
      <c r="G32" s="67"/>
      <c r="H32" s="67"/>
      <c r="I32" s="70"/>
      <c r="J32" s="70"/>
      <c r="K32" s="70"/>
    </row>
    <row r="33" spans="1:11">
      <c r="A33" s="66"/>
      <c r="B33" s="67"/>
      <c r="C33" s="67"/>
      <c r="D33" s="67"/>
      <c r="E33" s="67"/>
      <c r="F33" s="67"/>
      <c r="G33" s="67"/>
      <c r="H33" s="67"/>
      <c r="I33" s="70"/>
      <c r="J33" s="70"/>
      <c r="K33" s="70"/>
    </row>
    <row r="34" spans="1:11">
      <c r="A34" s="66"/>
      <c r="B34" s="67"/>
      <c r="C34" s="67"/>
      <c r="D34" s="67"/>
      <c r="E34" s="67"/>
      <c r="F34" s="67"/>
      <c r="G34" s="67"/>
      <c r="H34" s="67"/>
      <c r="I34" s="70"/>
      <c r="J34" s="70"/>
      <c r="K34" s="70"/>
    </row>
    <row r="35" spans="1:11">
      <c r="A35" s="66"/>
      <c r="B35" s="67"/>
      <c r="C35" s="67"/>
      <c r="D35" s="67"/>
      <c r="E35" s="67"/>
      <c r="F35" s="67"/>
      <c r="G35" s="67"/>
      <c r="H35" s="67"/>
      <c r="I35" s="70"/>
      <c r="J35" s="70"/>
      <c r="K35" s="70"/>
    </row>
    <row r="36" spans="1:11">
      <c r="A36" s="66"/>
      <c r="B36" s="67"/>
      <c r="C36" s="67"/>
      <c r="D36" s="67"/>
      <c r="E36" s="67"/>
      <c r="F36" s="67"/>
      <c r="G36" s="67"/>
      <c r="H36" s="67"/>
      <c r="I36" s="70"/>
      <c r="J36" s="70"/>
      <c r="K36" s="70"/>
    </row>
    <row r="37" spans="1:11">
      <c r="A37" s="66"/>
      <c r="B37" s="67"/>
      <c r="C37" s="67"/>
      <c r="D37" s="67"/>
      <c r="E37" s="67"/>
      <c r="F37" s="67"/>
      <c r="G37" s="67"/>
      <c r="H37" s="67"/>
      <c r="I37" s="70"/>
      <c r="J37" s="70"/>
      <c r="K37" s="70"/>
    </row>
    <row r="38" spans="1:11">
      <c r="A38" s="66"/>
      <c r="B38" s="67"/>
      <c r="C38" s="67"/>
      <c r="D38" s="67"/>
      <c r="E38" s="67"/>
      <c r="F38" s="67"/>
      <c r="G38" s="67"/>
      <c r="H38" s="67"/>
      <c r="I38" s="70"/>
      <c r="J38" s="70"/>
      <c r="K38" s="70"/>
    </row>
    <row r="39" spans="1:11">
      <c r="A39" s="67"/>
      <c r="B39" s="67"/>
      <c r="C39" s="67"/>
      <c r="D39" s="67"/>
      <c r="E39" s="67"/>
      <c r="F39" s="67"/>
      <c r="G39" s="67"/>
      <c r="H39" s="67"/>
      <c r="I39" s="70"/>
      <c r="J39" s="70"/>
      <c r="K39" s="70"/>
    </row>
    <row r="40" spans="1:11">
      <c r="A40" s="67"/>
      <c r="B40" s="67"/>
      <c r="C40" s="67"/>
      <c r="D40" s="67"/>
      <c r="E40" s="67"/>
      <c r="F40" s="67"/>
      <c r="G40" s="67"/>
      <c r="H40" s="67"/>
      <c r="I40" s="58"/>
      <c r="J40" s="70"/>
      <c r="K40" s="70"/>
    </row>
  </sheetData>
  <sheetProtection password="CC6F" sheet="1" objects="1" scenarios="1"/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sheetPr codeName="Лист49">
    <outlinePr summaryBelow="0" summaryRight="0"/>
  </sheetPr>
  <dimension ref="A1:S1000"/>
  <sheetViews>
    <sheetView workbookViewId="0">
      <selection activeCell="D13" sqref="D13"/>
    </sheetView>
  </sheetViews>
  <sheetFormatPr defaultColWidth="14.42578125" defaultRowHeight="15" customHeight="1"/>
  <cols>
    <col min="1" max="1" width="10.7109375" style="49" customWidth="1"/>
    <col min="2" max="8" width="8.7109375" style="49" customWidth="1"/>
    <col min="9" max="9" width="14" style="49" customWidth="1"/>
    <col min="10" max="10" width="15.5703125" style="49" customWidth="1"/>
    <col min="11" max="11" width="12.85546875" style="49" customWidth="1"/>
    <col min="12" max="13" width="8.7109375" style="49" customWidth="1"/>
    <col min="14" max="14" width="12" style="49" customWidth="1"/>
    <col min="15" max="15" width="11.5703125" style="49" customWidth="1"/>
    <col min="16" max="16" width="13.5703125" style="49" customWidth="1"/>
    <col min="17" max="17" width="12" style="49" customWidth="1"/>
    <col min="18" max="18" width="10.42578125" style="49" customWidth="1"/>
    <col min="19" max="19" width="12.7109375" style="49" customWidth="1"/>
    <col min="20" max="16384" width="14.42578125" style="49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198</v>
      </c>
    </row>
    <row r="3" spans="1:19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9">
      <c r="A4" s="73" t="s">
        <v>66</v>
      </c>
      <c r="B4" s="73" t="s">
        <v>100</v>
      </c>
      <c r="C4" s="510">
        <f>AVERAGEA(I7:I37)</f>
        <v>0.40822219966117962</v>
      </c>
      <c r="D4" s="511"/>
      <c r="E4" s="510">
        <f>AVERAGEA(J7:J37)</f>
        <v>12.986253300187727</v>
      </c>
      <c r="F4" s="511"/>
      <c r="G4" s="510">
        <f>AVERAGEA(K7:K37)</f>
        <v>1.3821361544494515</v>
      </c>
      <c r="H4" s="511"/>
      <c r="I4" s="74">
        <f>C4*K2</f>
        <v>80.827995532913562</v>
      </c>
      <c r="J4" s="74">
        <f>I4*E4</f>
        <v>1049.6528237368575</v>
      </c>
      <c r="K4" s="74">
        <f>K2*G4</f>
        <v>273.66295858099141</v>
      </c>
    </row>
    <row r="5" spans="1:19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  <c r="N6" s="520"/>
      <c r="O6" s="520"/>
      <c r="P6" s="520"/>
      <c r="Q6" s="520"/>
      <c r="R6" s="520"/>
      <c r="S6" s="520"/>
    </row>
    <row r="7" spans="1:19" ht="15.75">
      <c r="A7" s="77">
        <v>46205</v>
      </c>
      <c r="B7" s="78">
        <v>495</v>
      </c>
      <c r="C7" s="78" t="s">
        <v>62</v>
      </c>
      <c r="D7" s="78">
        <v>135</v>
      </c>
      <c r="E7" s="78">
        <v>21</v>
      </c>
      <c r="F7" s="78">
        <v>55</v>
      </c>
      <c r="G7" s="78">
        <v>679</v>
      </c>
      <c r="H7" s="78">
        <v>213</v>
      </c>
      <c r="I7" s="79">
        <f t="shared" ref="I7:I12" si="0">F7/(D7+E7)</f>
        <v>0.35256410256410259</v>
      </c>
      <c r="J7" s="79">
        <f t="shared" ref="J7:J12" si="1">G7/F7</f>
        <v>12.345454545454546</v>
      </c>
      <c r="K7" s="79">
        <f t="shared" ref="K7:K12" si="2">H7/(D7+E7)</f>
        <v>1.3653846153846154</v>
      </c>
      <c r="N7" s="59" t="s">
        <v>49</v>
      </c>
      <c r="O7" s="60">
        <f>K2</f>
        <v>198</v>
      </c>
      <c r="P7" s="61">
        <f>I4</f>
        <v>80.827995532913562</v>
      </c>
      <c r="Q7" s="61">
        <f>J4</f>
        <v>1049.6528237368575</v>
      </c>
      <c r="R7" s="539">
        <f>Q7/P7</f>
        <v>12.986253300187725</v>
      </c>
      <c r="S7" s="539">
        <f>P7/O7</f>
        <v>0.40822219966117962</v>
      </c>
    </row>
    <row r="8" spans="1:19" ht="15.75">
      <c r="A8" s="80">
        <v>46206</v>
      </c>
      <c r="B8" s="370">
        <v>493</v>
      </c>
      <c r="C8" s="420" t="s">
        <v>62</v>
      </c>
      <c r="D8" s="81">
        <v>153</v>
      </c>
      <c r="E8" s="81">
        <v>15</v>
      </c>
      <c r="F8" s="81">
        <v>74</v>
      </c>
      <c r="G8" s="81">
        <v>967</v>
      </c>
      <c r="H8" s="81">
        <v>210</v>
      </c>
      <c r="I8" s="79">
        <f t="shared" si="0"/>
        <v>0.44047619047619047</v>
      </c>
      <c r="J8" s="79">
        <f t="shared" si="1"/>
        <v>13.067567567567568</v>
      </c>
      <c r="K8" s="79">
        <f t="shared" si="2"/>
        <v>1.25</v>
      </c>
      <c r="N8" s="59" t="s">
        <v>50</v>
      </c>
      <c r="O8" s="60">
        <f>O7</f>
        <v>198</v>
      </c>
      <c r="P8" s="62">
        <f>O8*S7</f>
        <v>80.827995532913562</v>
      </c>
      <c r="Q8" s="62">
        <f>P8*R7</f>
        <v>1049.6528237368575</v>
      </c>
      <c r="R8" s="520"/>
      <c r="S8" s="520"/>
    </row>
    <row r="9" spans="1:19">
      <c r="A9" s="344">
        <v>46208</v>
      </c>
      <c r="B9" s="372">
        <v>493</v>
      </c>
      <c r="C9" s="426" t="s">
        <v>62</v>
      </c>
      <c r="D9" s="81">
        <v>127</v>
      </c>
      <c r="E9" s="81">
        <v>21</v>
      </c>
      <c r="F9" s="81">
        <v>61</v>
      </c>
      <c r="G9" s="81">
        <v>800</v>
      </c>
      <c r="H9" s="81">
        <v>197</v>
      </c>
      <c r="I9" s="79">
        <f t="shared" si="0"/>
        <v>0.41216216216216217</v>
      </c>
      <c r="J9" s="79">
        <f t="shared" si="1"/>
        <v>13.114754098360656</v>
      </c>
      <c r="K9" s="79">
        <f t="shared" si="2"/>
        <v>1.3310810810810811</v>
      </c>
      <c r="N9" s="521" t="s">
        <v>51</v>
      </c>
      <c r="O9" s="516"/>
      <c r="P9" s="516"/>
      <c r="Q9" s="516"/>
      <c r="R9" s="516"/>
      <c r="S9" s="511"/>
    </row>
    <row r="10" spans="1:19">
      <c r="A10" s="80">
        <v>46214</v>
      </c>
      <c r="B10" s="375">
        <v>493</v>
      </c>
      <c r="C10" s="433" t="s">
        <v>62</v>
      </c>
      <c r="D10" s="81">
        <v>161</v>
      </c>
      <c r="E10" s="81">
        <v>22</v>
      </c>
      <c r="F10" s="81">
        <v>78</v>
      </c>
      <c r="G10" s="81">
        <v>1048</v>
      </c>
      <c r="H10" s="81">
        <v>103</v>
      </c>
      <c r="I10" s="79">
        <f t="shared" si="0"/>
        <v>0.42622950819672129</v>
      </c>
      <c r="J10" s="79">
        <f t="shared" si="1"/>
        <v>13.435897435897436</v>
      </c>
      <c r="K10" s="79">
        <f t="shared" si="2"/>
        <v>0.56284153005464477</v>
      </c>
      <c r="N10" s="521" t="s">
        <v>52</v>
      </c>
      <c r="O10" s="516"/>
      <c r="P10" s="511"/>
      <c r="Q10" s="521" t="s">
        <v>53</v>
      </c>
      <c r="R10" s="516"/>
      <c r="S10" s="511"/>
    </row>
    <row r="11" spans="1:19">
      <c r="A11" s="80">
        <v>46215</v>
      </c>
      <c r="B11" s="438" t="s">
        <v>161</v>
      </c>
      <c r="C11" s="438" t="s">
        <v>73</v>
      </c>
      <c r="D11" s="81">
        <v>140</v>
      </c>
      <c r="E11" s="81">
        <v>28</v>
      </c>
      <c r="F11" s="81">
        <v>70</v>
      </c>
      <c r="G11" s="81">
        <v>854</v>
      </c>
      <c r="H11" s="81">
        <v>366</v>
      </c>
      <c r="I11" s="79">
        <f t="shared" si="0"/>
        <v>0.41666666666666669</v>
      </c>
      <c r="J11" s="79">
        <f t="shared" si="1"/>
        <v>12.2</v>
      </c>
      <c r="K11" s="79">
        <f t="shared" si="2"/>
        <v>2.1785714285714284</v>
      </c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.75">
      <c r="A12" s="80">
        <v>46216</v>
      </c>
      <c r="B12" s="309">
        <v>493</v>
      </c>
      <c r="C12" s="440" t="s">
        <v>62</v>
      </c>
      <c r="D12" s="81">
        <v>141</v>
      </c>
      <c r="E12" s="81">
        <v>21</v>
      </c>
      <c r="F12" s="81">
        <v>65</v>
      </c>
      <c r="G12" s="81">
        <v>894</v>
      </c>
      <c r="H12" s="81">
        <v>260</v>
      </c>
      <c r="I12" s="79">
        <f t="shared" si="0"/>
        <v>0.40123456790123457</v>
      </c>
      <c r="J12" s="79">
        <f t="shared" si="1"/>
        <v>13.753846153846155</v>
      </c>
      <c r="K12" s="79">
        <f t="shared" si="2"/>
        <v>1.6049382716049383</v>
      </c>
      <c r="N12" s="63">
        <v>1</v>
      </c>
      <c r="O12" s="64">
        <v>0</v>
      </c>
      <c r="P12" s="65">
        <f>O12*R7</f>
        <v>0</v>
      </c>
      <c r="Q12" s="63">
        <v>3</v>
      </c>
      <c r="R12" s="64">
        <v>50</v>
      </c>
      <c r="S12" s="65">
        <f>R12*R7</f>
        <v>649.31266500938625</v>
      </c>
    </row>
    <row r="13" spans="1:19" ht="15.75">
      <c r="A13" s="80"/>
      <c r="B13" s="383"/>
      <c r="C13" s="402"/>
      <c r="D13" s="81"/>
      <c r="E13" s="81"/>
      <c r="F13" s="81"/>
      <c r="G13" s="81"/>
      <c r="H13" s="81"/>
      <c r="I13" s="79"/>
      <c r="J13" s="79"/>
      <c r="K13" s="79"/>
      <c r="N13" s="63">
        <v>2</v>
      </c>
      <c r="O13" s="64">
        <v>0</v>
      </c>
      <c r="P13" s="65">
        <f>O13*R7</f>
        <v>0</v>
      </c>
      <c r="Q13" s="63">
        <v>4</v>
      </c>
      <c r="R13" s="64">
        <v>50</v>
      </c>
      <c r="S13" s="65">
        <f>R7*R13</f>
        <v>649.31266500938625</v>
      </c>
    </row>
    <row r="14" spans="1:19" ht="15.75">
      <c r="A14" s="124"/>
      <c r="B14" s="290"/>
      <c r="C14" s="402"/>
      <c r="D14" s="81"/>
      <c r="E14" s="81"/>
      <c r="F14" s="81"/>
      <c r="G14" s="81"/>
      <c r="H14" s="81"/>
      <c r="I14" s="79"/>
      <c r="J14" s="79"/>
      <c r="K14" s="79"/>
      <c r="N14" s="63">
        <v>3</v>
      </c>
      <c r="O14" s="64">
        <v>1</v>
      </c>
      <c r="P14" s="65">
        <f>R7*O14</f>
        <v>12.986253300187725</v>
      </c>
      <c r="Q14" s="63">
        <v>5</v>
      </c>
      <c r="R14" s="64">
        <v>30</v>
      </c>
      <c r="S14" s="65">
        <f>R14*R7</f>
        <v>389.58759900563177</v>
      </c>
    </row>
    <row r="15" spans="1:19" ht="15.75">
      <c r="A15" s="80"/>
      <c r="B15" s="265"/>
      <c r="C15" s="404"/>
      <c r="D15" s="81"/>
      <c r="E15" s="81"/>
      <c r="F15" s="81"/>
      <c r="G15" s="81"/>
      <c r="H15" s="81"/>
      <c r="I15" s="79"/>
      <c r="J15" s="79"/>
      <c r="K15" s="79"/>
      <c r="N15" s="63">
        <v>4</v>
      </c>
      <c r="O15" s="64">
        <v>0</v>
      </c>
      <c r="P15" s="65">
        <f>R7*O15</f>
        <v>0</v>
      </c>
      <c r="Q15" s="63">
        <v>1</v>
      </c>
      <c r="R15" s="64">
        <v>0</v>
      </c>
      <c r="S15" s="65">
        <f>R7*R15</f>
        <v>0</v>
      </c>
    </row>
    <row r="16" spans="1:19" ht="15.75">
      <c r="A16" s="80"/>
      <c r="B16" s="267"/>
      <c r="C16" s="404"/>
      <c r="D16" s="81"/>
      <c r="E16" s="81"/>
      <c r="F16" s="81"/>
      <c r="G16" s="81"/>
      <c r="H16" s="81"/>
      <c r="I16" s="79"/>
      <c r="J16" s="79"/>
      <c r="K16" s="79"/>
      <c r="N16" s="63">
        <v>5</v>
      </c>
      <c r="O16" s="64">
        <v>0</v>
      </c>
      <c r="P16" s="65">
        <f>R7*O16</f>
        <v>0</v>
      </c>
      <c r="Q16" s="63"/>
      <c r="R16" s="64">
        <v>0</v>
      </c>
      <c r="S16" s="65">
        <f>R7*R16</f>
        <v>0</v>
      </c>
    </row>
    <row r="17" spans="1:19" ht="15.75">
      <c r="A17" s="80"/>
      <c r="B17" s="272"/>
      <c r="C17" s="407"/>
      <c r="D17" s="81"/>
      <c r="E17" s="81"/>
      <c r="F17" s="81"/>
      <c r="G17" s="81"/>
      <c r="H17" s="81"/>
      <c r="I17" s="79"/>
      <c r="J17" s="79"/>
      <c r="K17" s="79"/>
      <c r="N17" s="63">
        <v>6</v>
      </c>
      <c r="O17" s="64">
        <v>0</v>
      </c>
      <c r="P17" s="65">
        <f>R7*O17</f>
        <v>0</v>
      </c>
      <c r="Q17" s="63"/>
      <c r="R17" s="64">
        <v>0</v>
      </c>
      <c r="S17" s="65">
        <f>R7*R17</f>
        <v>0</v>
      </c>
    </row>
    <row r="18" spans="1:19" ht="15.75">
      <c r="A18" s="80"/>
      <c r="B18" s="276"/>
      <c r="C18" s="407"/>
      <c r="D18" s="81"/>
      <c r="E18" s="81"/>
      <c r="F18" s="81"/>
      <c r="G18" s="81"/>
      <c r="H18" s="81"/>
      <c r="I18" s="79"/>
      <c r="J18" s="79"/>
      <c r="K18" s="79"/>
      <c r="N18" s="63">
        <v>7</v>
      </c>
      <c r="O18" s="64">
        <v>0</v>
      </c>
      <c r="P18" s="65">
        <f>R7*O18</f>
        <v>0</v>
      </c>
      <c r="Q18" s="63"/>
      <c r="R18" s="64">
        <v>0</v>
      </c>
      <c r="S18" s="65">
        <f>R7*R18</f>
        <v>0</v>
      </c>
    </row>
    <row r="19" spans="1:19" ht="15.75">
      <c r="A19" s="80"/>
      <c r="B19" s="252"/>
      <c r="C19" s="409"/>
      <c r="D19" s="81"/>
      <c r="E19" s="81"/>
      <c r="F19" s="81"/>
      <c r="G19" s="81"/>
      <c r="H19" s="81"/>
      <c r="I19" s="79"/>
      <c r="J19" s="79"/>
      <c r="K19" s="79"/>
      <c r="N19" s="63">
        <v>8</v>
      </c>
      <c r="O19" s="64">
        <v>30</v>
      </c>
      <c r="P19" s="65">
        <f>R7*O19</f>
        <v>389.58759900563177</v>
      </c>
      <c r="Q19" s="63"/>
      <c r="R19" s="64">
        <v>0</v>
      </c>
      <c r="S19" s="65">
        <f>R7*R19</f>
        <v>0</v>
      </c>
    </row>
    <row r="20" spans="1:19" ht="15.75">
      <c r="A20" s="80"/>
      <c r="B20" s="234"/>
      <c r="C20" s="417"/>
      <c r="D20" s="81"/>
      <c r="E20" s="81"/>
      <c r="F20" s="81"/>
      <c r="G20" s="81"/>
      <c r="H20" s="81"/>
      <c r="I20" s="79"/>
      <c r="J20" s="79"/>
      <c r="K20" s="79"/>
      <c r="N20" s="63">
        <v>9</v>
      </c>
      <c r="O20" s="64">
        <v>50</v>
      </c>
      <c r="P20" s="65">
        <f>R7*O20</f>
        <v>649.31266500938625</v>
      </c>
      <c r="Q20" s="63"/>
      <c r="R20" s="64">
        <v>0</v>
      </c>
      <c r="S20" s="65">
        <f>R7*R20</f>
        <v>0</v>
      </c>
    </row>
    <row r="21" spans="1:19" ht="15.75" customHeight="1">
      <c r="A21" s="80"/>
      <c r="B21" s="253"/>
      <c r="C21" s="253"/>
      <c r="D21" s="81"/>
      <c r="E21" s="81"/>
      <c r="F21" s="81"/>
      <c r="G21" s="81"/>
      <c r="H21" s="81"/>
      <c r="I21" s="79"/>
      <c r="J21" s="79"/>
      <c r="K21" s="79"/>
      <c r="N21" s="68" t="s">
        <v>53</v>
      </c>
      <c r="O21" s="64">
        <v>50</v>
      </c>
      <c r="P21" s="65">
        <f>R7*O21</f>
        <v>649.31266500938625</v>
      </c>
      <c r="Q21" s="63"/>
      <c r="R21" s="64"/>
      <c r="S21" s="65">
        <f>R7*R21</f>
        <v>0</v>
      </c>
    </row>
    <row r="22" spans="1:19" ht="15.75" customHeight="1">
      <c r="A22" s="80"/>
      <c r="B22" s="254"/>
      <c r="C22" s="254"/>
      <c r="D22" s="81"/>
      <c r="E22" s="81"/>
      <c r="F22" s="81"/>
      <c r="G22" s="81"/>
      <c r="H22" s="81"/>
      <c r="I22" s="79"/>
      <c r="J22" s="79"/>
      <c r="K22" s="79"/>
      <c r="N22" s="59" t="s">
        <v>59</v>
      </c>
      <c r="O22" s="69">
        <f>P8-O12-O13-O14-O15-O16-O17-O18-O19-O20-O21</f>
        <v>-50.172004467086438</v>
      </c>
      <c r="P22" s="69">
        <f>Q8-P12-P13-P14-P15-P16-P17-P18-P19-P20-P21</f>
        <v>-651.5463585877344</v>
      </c>
      <c r="Q22" s="59" t="s">
        <v>59</v>
      </c>
      <c r="R22" s="69">
        <f>P8-R12-R13-R14-R15-R16-R17-R18-R19-R20-R21</f>
        <v>-49.172004467086438</v>
      </c>
      <c r="S22" s="69">
        <f>Q8-S12-S13-S14-S15-S16-S17-S18-S19-S20-S21</f>
        <v>-638.56010528754678</v>
      </c>
    </row>
    <row r="23" spans="1:19" ht="15.75" customHeight="1">
      <c r="A23" s="80"/>
      <c r="B23" s="255"/>
      <c r="C23" s="255"/>
      <c r="D23" s="81"/>
      <c r="E23" s="81"/>
      <c r="F23" s="81"/>
      <c r="G23" s="81"/>
      <c r="H23" s="81"/>
      <c r="I23" s="79"/>
      <c r="J23" s="79"/>
      <c r="K23" s="79"/>
      <c r="N23" s="59" t="s">
        <v>60</v>
      </c>
      <c r="O23" s="62">
        <f>O12+O13+O14+O15+O16+O17+O18+O19+O20+O21</f>
        <v>131</v>
      </c>
      <c r="P23" s="62">
        <f>P12+P13+P14+P15+P16+P17+P18+P19+P20+P21</f>
        <v>1701.1991823245921</v>
      </c>
      <c r="Q23" s="59" t="s">
        <v>60</v>
      </c>
      <c r="R23" s="62">
        <f>R12+R13+R14+R15+R16+R17+R18+R19+R20+R21</f>
        <v>130</v>
      </c>
      <c r="S23" s="62">
        <f>S12+S13+S14+S15+S16+S17+S18+S19+S20+S21</f>
        <v>1688.2129290244043</v>
      </c>
    </row>
    <row r="24" spans="1:19" ht="15.75" customHeight="1">
      <c r="A24" s="80"/>
      <c r="B24" s="245"/>
      <c r="C24" s="245"/>
      <c r="D24" s="81"/>
      <c r="E24" s="81"/>
      <c r="F24" s="81"/>
      <c r="G24" s="81"/>
      <c r="H24" s="81"/>
      <c r="I24" s="79"/>
      <c r="J24" s="79"/>
      <c r="K24" s="79"/>
    </row>
    <row r="25" spans="1:19" ht="15.75" customHeight="1"/>
    <row r="26" spans="1:19" ht="15.75" customHeight="1"/>
    <row r="27" spans="1:19" ht="15.75" customHeight="1"/>
    <row r="28" spans="1:19" ht="15.75" customHeight="1"/>
    <row r="29" spans="1:19" ht="15.75" customHeight="1"/>
    <row r="30" spans="1:19" ht="15.75" customHeight="1"/>
    <row r="31" spans="1:19" ht="15.75" customHeight="1"/>
    <row r="32" spans="1:1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67"/>
      <c r="O55" s="67"/>
      <c r="P55" s="67"/>
      <c r="Q55" s="67"/>
      <c r="R55" s="67"/>
      <c r="S55" s="67"/>
    </row>
    <row r="56" spans="14:19" ht="15.75" customHeight="1">
      <c r="N56" s="72"/>
      <c r="O56" s="72"/>
      <c r="P56" s="72"/>
      <c r="Q56" s="72"/>
      <c r="R56" s="72"/>
      <c r="S56" s="72"/>
    </row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orientation="landscape"/>
</worksheet>
</file>

<file path=xl/worksheets/sheet79.xml><?xml version="1.0" encoding="utf-8"?>
<worksheet xmlns="http://schemas.openxmlformats.org/spreadsheetml/2006/main" xmlns:r="http://schemas.openxmlformats.org/officeDocument/2006/relationships">
  <sheetPr codeName="Лист50">
    <outlinePr summaryBelow="0" summaryRight="0"/>
  </sheetPr>
  <dimension ref="A1:S1000"/>
  <sheetViews>
    <sheetView topLeftCell="A2" workbookViewId="0">
      <selection activeCell="A8" sqref="A8"/>
    </sheetView>
  </sheetViews>
  <sheetFormatPr defaultColWidth="14.42578125" defaultRowHeight="15" customHeight="1"/>
  <cols>
    <col min="1" max="1" width="10.140625" style="49" customWidth="1"/>
    <col min="2" max="8" width="8.7109375" style="49" customWidth="1"/>
    <col min="9" max="9" width="14" style="49" customWidth="1"/>
    <col min="10" max="10" width="15.5703125" style="49" customWidth="1"/>
    <col min="11" max="11" width="12.85546875" style="49" customWidth="1"/>
    <col min="12" max="13" width="8.7109375" style="49" customWidth="1"/>
    <col min="14" max="14" width="12" style="49" customWidth="1"/>
    <col min="15" max="15" width="11.5703125" style="49" customWidth="1"/>
    <col min="16" max="16" width="13.5703125" style="49" customWidth="1"/>
    <col min="17" max="17" width="12" style="49" customWidth="1"/>
    <col min="18" max="18" width="10.42578125" style="49" customWidth="1"/>
    <col min="19" max="19" width="12.7109375" style="49" customWidth="1"/>
    <col min="20" max="16384" width="14.42578125" style="49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212</v>
      </c>
    </row>
    <row r="3" spans="1:19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9">
      <c r="A4" s="73" t="s">
        <v>66</v>
      </c>
      <c r="B4" s="73" t="s">
        <v>101</v>
      </c>
      <c r="C4" s="510">
        <f>AVERAGEA(I7:I37)</f>
        <v>0.44936708860759494</v>
      </c>
      <c r="D4" s="511"/>
      <c r="E4" s="510">
        <f>AVERAGEA(J7:J37)</f>
        <v>14.380281690140846</v>
      </c>
      <c r="F4" s="511"/>
      <c r="G4" s="510">
        <f>AVERAGEA(K7:K37)</f>
        <v>2.981012658227848</v>
      </c>
      <c r="H4" s="511"/>
      <c r="I4" s="74">
        <f>C4*K2</f>
        <v>95.265822784810126</v>
      </c>
      <c r="J4" s="74">
        <f>I4*E4</f>
        <v>1369.9493670886077</v>
      </c>
      <c r="K4" s="74">
        <f>K2*G4</f>
        <v>631.97468354430373</v>
      </c>
    </row>
    <row r="5" spans="1:19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  <c r="N6" s="520"/>
      <c r="O6" s="520"/>
      <c r="P6" s="520"/>
      <c r="Q6" s="520"/>
      <c r="R6" s="520"/>
      <c r="S6" s="520"/>
    </row>
    <row r="7" spans="1:19" ht="15.75">
      <c r="A7" s="77">
        <v>45993</v>
      </c>
      <c r="B7" s="78" t="s">
        <v>131</v>
      </c>
      <c r="C7" s="78" t="s">
        <v>73</v>
      </c>
      <c r="D7" s="78">
        <v>146</v>
      </c>
      <c r="E7" s="78">
        <v>12</v>
      </c>
      <c r="F7" s="78">
        <v>71</v>
      </c>
      <c r="G7" s="78">
        <v>1021</v>
      </c>
      <c r="H7" s="78">
        <v>471</v>
      </c>
      <c r="I7" s="79">
        <f>F7/(D7+E7)</f>
        <v>0.44936708860759494</v>
      </c>
      <c r="J7" s="79">
        <f>G7/F7</f>
        <v>14.380281690140846</v>
      </c>
      <c r="K7" s="79">
        <f>H7/(D7+E7)</f>
        <v>2.981012658227848</v>
      </c>
      <c r="N7" s="59" t="s">
        <v>49</v>
      </c>
      <c r="O7" s="60">
        <f>K2</f>
        <v>212</v>
      </c>
      <c r="P7" s="61">
        <f>I4</f>
        <v>95.265822784810126</v>
      </c>
      <c r="Q7" s="61">
        <f>J4</f>
        <v>1369.9493670886077</v>
      </c>
      <c r="R7" s="539">
        <f>Q7/P7</f>
        <v>14.380281690140846</v>
      </c>
      <c r="S7" s="539">
        <f>P7/O7</f>
        <v>0.44936708860759494</v>
      </c>
    </row>
    <row r="8" spans="1:19" ht="15.75">
      <c r="A8" s="80"/>
      <c r="B8" s="277"/>
      <c r="C8" s="277"/>
      <c r="D8" s="81"/>
      <c r="E8" s="81"/>
      <c r="F8" s="81"/>
      <c r="G8" s="81"/>
      <c r="H8" s="81"/>
      <c r="I8" s="79"/>
      <c r="J8" s="79"/>
      <c r="K8" s="79"/>
      <c r="N8" s="59" t="s">
        <v>50</v>
      </c>
      <c r="O8" s="60">
        <f>O7</f>
        <v>212</v>
      </c>
      <c r="P8" s="62">
        <f>O8*S7</f>
        <v>95.265822784810126</v>
      </c>
      <c r="Q8" s="62">
        <f>P8*R7</f>
        <v>1369.9493670886077</v>
      </c>
      <c r="R8" s="520"/>
      <c r="S8" s="520"/>
    </row>
    <row r="9" spans="1:19">
      <c r="A9" s="80"/>
      <c r="B9" s="278"/>
      <c r="C9" s="278"/>
      <c r="D9" s="81"/>
      <c r="E9" s="81"/>
      <c r="F9" s="81"/>
      <c r="G9" s="81"/>
      <c r="H9" s="81"/>
      <c r="I9" s="79"/>
      <c r="J9" s="79"/>
      <c r="K9" s="79"/>
      <c r="N9" s="521" t="s">
        <v>51</v>
      </c>
      <c r="O9" s="516"/>
      <c r="P9" s="516"/>
      <c r="Q9" s="516"/>
      <c r="R9" s="516"/>
      <c r="S9" s="511"/>
    </row>
    <row r="10" spans="1:19">
      <c r="A10" s="80"/>
      <c r="B10" s="280"/>
      <c r="C10" s="280"/>
      <c r="D10" s="81"/>
      <c r="E10" s="81"/>
      <c r="F10" s="81"/>
      <c r="G10" s="81"/>
      <c r="H10" s="81"/>
      <c r="I10" s="79"/>
      <c r="J10" s="79"/>
      <c r="K10" s="79"/>
      <c r="N10" s="521" t="s">
        <v>52</v>
      </c>
      <c r="O10" s="516"/>
      <c r="P10" s="511"/>
      <c r="Q10" s="521" t="s">
        <v>53</v>
      </c>
      <c r="R10" s="516"/>
      <c r="S10" s="511"/>
    </row>
    <row r="11" spans="1:19">
      <c r="A11" s="80"/>
      <c r="B11" s="282"/>
      <c r="C11" s="282"/>
      <c r="D11" s="81"/>
      <c r="E11" s="81"/>
      <c r="F11" s="81"/>
      <c r="G11" s="81"/>
      <c r="H11" s="81"/>
      <c r="I11" s="79"/>
      <c r="J11" s="79"/>
      <c r="K11" s="79"/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.75">
      <c r="A12" s="80"/>
      <c r="B12" s="283"/>
      <c r="C12" s="283"/>
      <c r="D12" s="81"/>
      <c r="E12" s="81"/>
      <c r="F12" s="81"/>
      <c r="G12" s="81"/>
      <c r="H12" s="81"/>
      <c r="I12" s="79"/>
      <c r="J12" s="79"/>
      <c r="K12" s="79"/>
      <c r="N12" s="63">
        <v>1</v>
      </c>
      <c r="O12" s="64">
        <v>30</v>
      </c>
      <c r="P12" s="65">
        <f>O12*R7</f>
        <v>431.4084507042254</v>
      </c>
      <c r="Q12" s="63">
        <v>3</v>
      </c>
      <c r="R12" s="64">
        <v>40</v>
      </c>
      <c r="S12" s="65">
        <f>R12*R7</f>
        <v>575.21126760563379</v>
      </c>
    </row>
    <row r="13" spans="1:19" ht="15.75">
      <c r="A13" s="119"/>
      <c r="B13" s="285"/>
      <c r="C13" s="285"/>
      <c r="D13" s="81"/>
      <c r="E13" s="81"/>
      <c r="F13" s="81"/>
      <c r="G13" s="81"/>
      <c r="H13" s="81"/>
      <c r="I13" s="79"/>
      <c r="J13" s="79"/>
      <c r="K13" s="79"/>
      <c r="N13" s="63">
        <v>2</v>
      </c>
      <c r="O13" s="64">
        <v>30</v>
      </c>
      <c r="P13" s="65">
        <f>O13*R7</f>
        <v>431.4084507042254</v>
      </c>
      <c r="Q13" s="63">
        <v>4</v>
      </c>
      <c r="R13" s="64">
        <v>39</v>
      </c>
      <c r="S13" s="65">
        <f>R7*R13</f>
        <v>560.83098591549299</v>
      </c>
    </row>
    <row r="14" spans="1:19" ht="15.75">
      <c r="A14" s="80"/>
      <c r="B14" s="287"/>
      <c r="C14" s="287"/>
      <c r="D14" s="81"/>
      <c r="E14" s="81"/>
      <c r="F14" s="81"/>
      <c r="G14" s="81"/>
      <c r="H14" s="81"/>
      <c r="I14" s="79"/>
      <c r="J14" s="79"/>
      <c r="K14" s="79"/>
      <c r="N14" s="63">
        <v>3</v>
      </c>
      <c r="O14" s="64">
        <v>30</v>
      </c>
      <c r="P14" s="65">
        <f>R7*O14</f>
        <v>431.4084507042254</v>
      </c>
      <c r="Q14" s="63">
        <v>5</v>
      </c>
      <c r="R14" s="64">
        <v>0</v>
      </c>
      <c r="S14" s="65">
        <f>R14*R7</f>
        <v>0</v>
      </c>
    </row>
    <row r="15" spans="1:19" ht="15.75">
      <c r="A15" s="80"/>
      <c r="B15" s="291"/>
      <c r="C15" s="291"/>
      <c r="D15" s="81"/>
      <c r="E15" s="81"/>
      <c r="F15" s="81"/>
      <c r="G15" s="81"/>
      <c r="H15" s="81"/>
      <c r="I15" s="79"/>
      <c r="J15" s="79"/>
      <c r="K15" s="79"/>
      <c r="N15" s="63">
        <v>4</v>
      </c>
      <c r="O15" s="64">
        <v>30</v>
      </c>
      <c r="P15" s="65">
        <f>R7*O15</f>
        <v>431.4084507042254</v>
      </c>
      <c r="Q15" s="63">
        <v>1</v>
      </c>
      <c r="R15" s="64">
        <v>0</v>
      </c>
      <c r="S15" s="65">
        <f>R7*R15</f>
        <v>0</v>
      </c>
    </row>
    <row r="16" spans="1:19" ht="15.75">
      <c r="A16" s="80"/>
      <c r="B16" s="158"/>
      <c r="C16" s="158"/>
      <c r="D16" s="81"/>
      <c r="E16" s="81"/>
      <c r="F16" s="81"/>
      <c r="G16" s="81"/>
      <c r="H16" s="81"/>
      <c r="I16" s="79"/>
      <c r="J16" s="79"/>
      <c r="K16" s="79"/>
      <c r="N16" s="63">
        <v>5</v>
      </c>
      <c r="O16" s="64">
        <v>22</v>
      </c>
      <c r="P16" s="65">
        <f>R7*O16</f>
        <v>316.36619718309862</v>
      </c>
      <c r="Q16" s="63"/>
      <c r="R16" s="64">
        <v>0</v>
      </c>
      <c r="S16" s="65">
        <f>R7*R16</f>
        <v>0</v>
      </c>
    </row>
    <row r="17" spans="1:19" ht="15.75">
      <c r="A17" s="80"/>
      <c r="B17" s="81"/>
      <c r="C17" s="141"/>
      <c r="D17" s="81"/>
      <c r="E17" s="81"/>
      <c r="F17" s="81"/>
      <c r="G17" s="81"/>
      <c r="H17" s="81"/>
      <c r="I17" s="79"/>
      <c r="J17" s="79"/>
      <c r="K17" s="79"/>
      <c r="N17" s="63">
        <v>6</v>
      </c>
      <c r="O17" s="64">
        <v>0</v>
      </c>
      <c r="P17" s="65">
        <f>R7*O17</f>
        <v>0</v>
      </c>
      <c r="Q17" s="63"/>
      <c r="R17" s="64">
        <v>0</v>
      </c>
      <c r="S17" s="65">
        <f>R7*R17</f>
        <v>0</v>
      </c>
    </row>
    <row r="18" spans="1:19" ht="15.75">
      <c r="A18" s="80"/>
      <c r="B18" s="100"/>
      <c r="C18" s="146"/>
      <c r="D18" s="81"/>
      <c r="E18" s="81"/>
      <c r="F18" s="81"/>
      <c r="G18" s="81"/>
      <c r="H18" s="81"/>
      <c r="I18" s="79"/>
      <c r="J18" s="79"/>
      <c r="K18" s="79"/>
      <c r="N18" s="63">
        <v>7</v>
      </c>
      <c r="O18" s="64">
        <v>0</v>
      </c>
      <c r="P18" s="65">
        <f>R7*O18</f>
        <v>0</v>
      </c>
      <c r="Q18" s="63"/>
      <c r="R18" s="64">
        <v>0</v>
      </c>
      <c r="S18" s="65">
        <f>R7*R18</f>
        <v>0</v>
      </c>
    </row>
    <row r="19" spans="1:19" ht="15.75">
      <c r="A19" s="80"/>
      <c r="B19" s="81"/>
      <c r="C19" s="148"/>
      <c r="D19" s="81"/>
      <c r="E19" s="81"/>
      <c r="F19" s="81"/>
      <c r="G19" s="81"/>
      <c r="H19" s="81"/>
      <c r="I19" s="79"/>
      <c r="J19" s="79"/>
      <c r="K19" s="79"/>
      <c r="N19" s="63">
        <v>8</v>
      </c>
      <c r="O19" s="64">
        <v>0</v>
      </c>
      <c r="P19" s="65">
        <f>R7*O19</f>
        <v>0</v>
      </c>
      <c r="Q19" s="63"/>
      <c r="R19" s="64">
        <v>0</v>
      </c>
      <c r="S19" s="65">
        <f>R7*R19</f>
        <v>0</v>
      </c>
    </row>
    <row r="20" spans="1:19" ht="15.75">
      <c r="A20" s="133"/>
      <c r="B20" s="81"/>
      <c r="C20" s="132"/>
      <c r="D20" s="81"/>
      <c r="E20" s="81"/>
      <c r="F20" s="81"/>
      <c r="G20" s="81"/>
      <c r="H20" s="81"/>
      <c r="I20" s="79"/>
      <c r="J20" s="79"/>
      <c r="K20" s="79"/>
      <c r="N20" s="63">
        <v>9</v>
      </c>
      <c r="O20" s="64">
        <v>0</v>
      </c>
      <c r="P20" s="65">
        <f>R7*O20</f>
        <v>0</v>
      </c>
      <c r="Q20" s="63"/>
      <c r="R20" s="64">
        <v>0</v>
      </c>
      <c r="S20" s="65">
        <f>R7*R20</f>
        <v>0</v>
      </c>
    </row>
    <row r="21" spans="1:19" ht="15.75" customHeight="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N21" s="68" t="s">
        <v>53</v>
      </c>
      <c r="O21" s="64">
        <v>0</v>
      </c>
      <c r="P21" s="65">
        <f>R7*O21</f>
        <v>0</v>
      </c>
      <c r="Q21" s="63"/>
      <c r="R21" s="64"/>
      <c r="S21" s="65">
        <f>R7*R21</f>
        <v>0</v>
      </c>
    </row>
    <row r="22" spans="1:19" ht="15.75" customHeight="1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N22" s="59" t="s">
        <v>59</v>
      </c>
      <c r="O22" s="69">
        <f>P8-O12-O13-O14-O15-O16-O17-O18-O19-O20-O21</f>
        <v>-46.734177215189874</v>
      </c>
      <c r="P22" s="69">
        <f>Q8-P12-P13-P14-P15-P16-P17-P18-P19-P20-P21</f>
        <v>-672.05063291139254</v>
      </c>
      <c r="Q22" s="59" t="s">
        <v>59</v>
      </c>
      <c r="R22" s="69">
        <f>P8-R12-R13-R14-R15-R16-R17-R18-R19-R20-R21</f>
        <v>16.265822784810126</v>
      </c>
      <c r="S22" s="69">
        <f>Q8-S12-S13-S14-S15-S16-S17-S18-S19-S20-S21</f>
        <v>233.90711356748091</v>
      </c>
    </row>
    <row r="23" spans="1:19" ht="15.75" customHeight="1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N23" s="59" t="s">
        <v>60</v>
      </c>
      <c r="O23" s="62">
        <f>O12+O13+O14+O15+O16+O17+O18+O19+O20+O21</f>
        <v>142</v>
      </c>
      <c r="P23" s="62">
        <f>P12+P13+P14+P15+P16+P17+P18+P19+P20+P21</f>
        <v>2042.0000000000002</v>
      </c>
      <c r="Q23" s="59" t="s">
        <v>60</v>
      </c>
      <c r="R23" s="62">
        <f>R12+R13+R14+R15+R16+R17+R18+R19+R20+R21</f>
        <v>79</v>
      </c>
      <c r="S23" s="62">
        <f>S12+S13+S14+S15+S16+S17+S18+S19+S20+S21</f>
        <v>1136.0422535211269</v>
      </c>
    </row>
    <row r="24" spans="1:19" ht="15.75" customHeight="1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</row>
    <row r="25" spans="1:19" ht="15.75" customHeight="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</row>
    <row r="26" spans="1:19" ht="15.75" customHeight="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</row>
    <row r="27" spans="1:19" ht="15.75" customHeight="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</row>
    <row r="28" spans="1:19" ht="15.75" customHeight="1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</row>
    <row r="29" spans="1:19" ht="15.75" customHeight="1"/>
    <row r="30" spans="1:19" ht="15.75" customHeight="1"/>
    <row r="31" spans="1:19" ht="15.75" customHeight="1"/>
    <row r="32" spans="1:1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67"/>
      <c r="O55" s="67"/>
      <c r="P55" s="67"/>
      <c r="Q55" s="67"/>
      <c r="R55" s="67"/>
      <c r="S55" s="67"/>
    </row>
    <row r="56" spans="14:19" ht="15.75" customHeight="1">
      <c r="N56" s="72"/>
      <c r="O56" s="72"/>
      <c r="P56" s="72"/>
      <c r="Q56" s="72"/>
      <c r="R56" s="72"/>
      <c r="S56" s="72"/>
    </row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orientation="landscape"/>
</worksheet>
</file>

<file path=xl/worksheets/sheet80.xml><?xml version="1.0" encoding="utf-8"?>
<worksheet xmlns="http://schemas.openxmlformats.org/spreadsheetml/2006/main" xmlns:r="http://schemas.openxmlformats.org/officeDocument/2006/relationships">
  <sheetPr codeName="Лист51"/>
  <dimension ref="A1:S1000"/>
  <sheetViews>
    <sheetView topLeftCell="A2" workbookViewId="0">
      <selection activeCell="I16" sqref="I16"/>
    </sheetView>
  </sheetViews>
  <sheetFormatPr defaultColWidth="14.42578125" defaultRowHeight="15" customHeight="1"/>
  <cols>
    <col min="1" max="1" width="11" style="49" customWidth="1"/>
    <col min="2" max="8" width="8.7109375" style="49" customWidth="1"/>
    <col min="9" max="9" width="14" style="49" customWidth="1"/>
    <col min="10" max="10" width="15.5703125" style="49" customWidth="1"/>
    <col min="11" max="11" width="12.85546875" style="49" customWidth="1"/>
    <col min="12" max="13" width="8.7109375" style="49" customWidth="1"/>
    <col min="14" max="14" width="12" style="49" customWidth="1"/>
    <col min="15" max="15" width="11.5703125" style="49" customWidth="1"/>
    <col min="16" max="16" width="13.5703125" style="49" customWidth="1"/>
    <col min="17" max="17" width="12" style="49" customWidth="1"/>
    <col min="18" max="18" width="10.42578125" style="49" customWidth="1"/>
    <col min="19" max="19" width="12.7109375" style="49" customWidth="1"/>
    <col min="20" max="16384" width="14.42578125" style="49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193</v>
      </c>
    </row>
    <row r="3" spans="1:19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9">
      <c r="A4" s="73" t="s">
        <v>66</v>
      </c>
      <c r="B4" s="73" t="s">
        <v>79</v>
      </c>
      <c r="C4" s="510">
        <f>AVERAGEA(I7:I40)</f>
        <v>0.4119652725237547</v>
      </c>
      <c r="D4" s="511"/>
      <c r="E4" s="510">
        <f>AVERAGEA(J7:J40)</f>
        <v>14.049685243227916</v>
      </c>
      <c r="F4" s="511"/>
      <c r="G4" s="510">
        <f>AVERAGEA(K7:K40)</f>
        <v>1.5733931128400105</v>
      </c>
      <c r="H4" s="511"/>
      <c r="I4" s="74">
        <f>C4*K2</f>
        <v>79.509297597084654</v>
      </c>
      <c r="J4" s="74">
        <f>I4*E4</f>
        <v>1117.080605149177</v>
      </c>
      <c r="K4" s="74">
        <f>K2*G4</f>
        <v>303.66487077812201</v>
      </c>
    </row>
    <row r="5" spans="1:19" ht="15" customHeight="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  <c r="N6" s="520"/>
      <c r="O6" s="520"/>
      <c r="P6" s="520"/>
      <c r="Q6" s="520"/>
      <c r="R6" s="520"/>
      <c r="S6" s="520"/>
    </row>
    <row r="7" spans="1:19" ht="15.75">
      <c r="A7" s="115">
        <v>46205</v>
      </c>
      <c r="B7" s="419" t="s">
        <v>149</v>
      </c>
      <c r="C7" s="419" t="s">
        <v>73</v>
      </c>
      <c r="D7" s="114">
        <v>157</v>
      </c>
      <c r="E7" s="114">
        <v>38</v>
      </c>
      <c r="F7" s="114">
        <v>85</v>
      </c>
      <c r="G7" s="114">
        <v>1056</v>
      </c>
      <c r="H7" s="114">
        <v>254</v>
      </c>
      <c r="I7" s="79">
        <f t="shared" ref="I7:I16" si="0">F7/(D7+E7)</f>
        <v>0.4358974358974359</v>
      </c>
      <c r="J7" s="79">
        <f t="shared" ref="J7:J16" si="1">G7/F7</f>
        <v>12.423529411764706</v>
      </c>
      <c r="K7" s="79">
        <f t="shared" ref="K7:K16" si="2">H7/(D7+E7)</f>
        <v>1.3025641025641026</v>
      </c>
      <c r="N7" s="59" t="s">
        <v>49</v>
      </c>
      <c r="O7" s="60">
        <f>K2</f>
        <v>193</v>
      </c>
      <c r="P7" s="61">
        <f>I4</f>
        <v>79.509297597084654</v>
      </c>
      <c r="Q7" s="61">
        <f>J4</f>
        <v>1117.080605149177</v>
      </c>
      <c r="R7" s="539">
        <f>Q7/P7</f>
        <v>14.049685243227916</v>
      </c>
      <c r="S7" s="539">
        <f>P7/O7</f>
        <v>0.4119652725237547</v>
      </c>
    </row>
    <row r="8" spans="1:19" ht="15.75">
      <c r="A8" s="80">
        <v>46207</v>
      </c>
      <c r="B8" s="423" t="s">
        <v>149</v>
      </c>
      <c r="C8" s="423" t="s">
        <v>73</v>
      </c>
      <c r="D8" s="81">
        <v>157</v>
      </c>
      <c r="E8" s="81">
        <v>14</v>
      </c>
      <c r="F8" s="81">
        <v>58</v>
      </c>
      <c r="G8" s="81">
        <v>814</v>
      </c>
      <c r="H8" s="81">
        <v>241</v>
      </c>
      <c r="I8" s="79">
        <f t="shared" si="0"/>
        <v>0.33918128654970758</v>
      </c>
      <c r="J8" s="79">
        <f t="shared" si="1"/>
        <v>14.03448275862069</v>
      </c>
      <c r="K8" s="79">
        <f t="shared" si="2"/>
        <v>1.4093567251461989</v>
      </c>
      <c r="N8" s="59" t="s">
        <v>50</v>
      </c>
      <c r="O8" s="60">
        <f>O7</f>
        <v>193</v>
      </c>
      <c r="P8" s="62">
        <f>O8*S7</f>
        <v>79.509297597084654</v>
      </c>
      <c r="Q8" s="62">
        <f>P8*R7</f>
        <v>1117.080605149177</v>
      </c>
      <c r="R8" s="520"/>
      <c r="S8" s="520"/>
    </row>
    <row r="9" spans="1:19">
      <c r="A9" s="394">
        <v>46209</v>
      </c>
      <c r="B9" s="340">
        <v>479</v>
      </c>
      <c r="C9" s="426" t="s">
        <v>62</v>
      </c>
      <c r="D9" s="81">
        <v>110</v>
      </c>
      <c r="E9" s="172">
        <v>22</v>
      </c>
      <c r="F9" s="81">
        <v>64</v>
      </c>
      <c r="G9" s="81">
        <v>825</v>
      </c>
      <c r="H9" s="81">
        <v>214</v>
      </c>
      <c r="I9" s="79">
        <f t="shared" si="0"/>
        <v>0.48484848484848486</v>
      </c>
      <c r="J9" s="79">
        <f t="shared" si="1"/>
        <v>12.890625</v>
      </c>
      <c r="K9" s="79">
        <f t="shared" si="2"/>
        <v>1.6212121212121211</v>
      </c>
      <c r="N9" s="521" t="s">
        <v>51</v>
      </c>
      <c r="O9" s="516"/>
      <c r="P9" s="516"/>
      <c r="Q9" s="516"/>
      <c r="R9" s="516"/>
      <c r="S9" s="511"/>
    </row>
    <row r="10" spans="1:19">
      <c r="A10" s="80">
        <v>46210</v>
      </c>
      <c r="B10" s="326">
        <v>481</v>
      </c>
      <c r="C10" s="428" t="s">
        <v>62</v>
      </c>
      <c r="D10" s="81">
        <v>132</v>
      </c>
      <c r="E10" s="81">
        <v>27</v>
      </c>
      <c r="F10" s="81">
        <v>68</v>
      </c>
      <c r="G10" s="81">
        <v>914</v>
      </c>
      <c r="H10" s="81">
        <v>192</v>
      </c>
      <c r="I10" s="79">
        <f t="shared" si="0"/>
        <v>0.42767295597484278</v>
      </c>
      <c r="J10" s="79">
        <f t="shared" si="1"/>
        <v>13.441176470588236</v>
      </c>
      <c r="K10" s="79">
        <f t="shared" si="2"/>
        <v>1.2075471698113207</v>
      </c>
      <c r="N10" s="521" t="s">
        <v>52</v>
      </c>
      <c r="O10" s="516"/>
      <c r="P10" s="511"/>
      <c r="Q10" s="521" t="s">
        <v>53</v>
      </c>
      <c r="R10" s="516"/>
      <c r="S10" s="511"/>
    </row>
    <row r="11" spans="1:19">
      <c r="A11" s="80">
        <v>46211</v>
      </c>
      <c r="B11" s="431" t="s">
        <v>149</v>
      </c>
      <c r="C11" s="431" t="s">
        <v>73</v>
      </c>
      <c r="D11" s="81">
        <v>150</v>
      </c>
      <c r="E11" s="81">
        <v>34</v>
      </c>
      <c r="F11" s="81">
        <v>79</v>
      </c>
      <c r="G11" s="81">
        <v>1150</v>
      </c>
      <c r="H11" s="81">
        <v>201</v>
      </c>
      <c r="I11" s="79">
        <f t="shared" si="0"/>
        <v>0.42934782608695654</v>
      </c>
      <c r="J11" s="79">
        <f t="shared" si="1"/>
        <v>14.556962025316455</v>
      </c>
      <c r="K11" s="79">
        <f t="shared" si="2"/>
        <v>1.0923913043478262</v>
      </c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.75">
      <c r="A12" s="80">
        <v>46212</v>
      </c>
      <c r="B12" s="433" t="s">
        <v>149</v>
      </c>
      <c r="C12" s="433" t="s">
        <v>73</v>
      </c>
      <c r="D12" s="81">
        <v>130</v>
      </c>
      <c r="E12" s="81">
        <v>23</v>
      </c>
      <c r="F12" s="81">
        <v>57</v>
      </c>
      <c r="G12" s="81">
        <v>813</v>
      </c>
      <c r="H12" s="81">
        <v>181</v>
      </c>
      <c r="I12" s="79">
        <f t="shared" si="0"/>
        <v>0.37254901960784315</v>
      </c>
      <c r="J12" s="79">
        <f t="shared" si="1"/>
        <v>14.263157894736842</v>
      </c>
      <c r="K12" s="79">
        <f t="shared" si="2"/>
        <v>1.1830065359477124</v>
      </c>
      <c r="N12" s="63">
        <v>1</v>
      </c>
      <c r="O12" s="64">
        <v>0</v>
      </c>
      <c r="P12" s="65">
        <f>O12*R7</f>
        <v>0</v>
      </c>
      <c r="Q12" s="63">
        <v>3</v>
      </c>
      <c r="R12" s="64">
        <v>40</v>
      </c>
      <c r="S12" s="65">
        <f>R12*R7</f>
        <v>561.98740972911662</v>
      </c>
    </row>
    <row r="13" spans="1:19" ht="15.75">
      <c r="A13" s="80">
        <v>46214</v>
      </c>
      <c r="B13" s="435" t="s">
        <v>149</v>
      </c>
      <c r="C13" s="435" t="s">
        <v>73</v>
      </c>
      <c r="D13" s="81">
        <v>153</v>
      </c>
      <c r="E13" s="81">
        <v>21</v>
      </c>
      <c r="F13" s="81">
        <v>81</v>
      </c>
      <c r="G13" s="81">
        <v>1094</v>
      </c>
      <c r="H13" s="81">
        <v>426</v>
      </c>
      <c r="I13" s="79">
        <f t="shared" si="0"/>
        <v>0.46551724137931033</v>
      </c>
      <c r="J13" s="79">
        <f t="shared" si="1"/>
        <v>13.506172839506172</v>
      </c>
      <c r="K13" s="79">
        <f t="shared" si="2"/>
        <v>2.4482758620689653</v>
      </c>
      <c r="N13" s="63">
        <v>2</v>
      </c>
      <c r="O13" s="64">
        <v>0</v>
      </c>
      <c r="P13" s="65">
        <f>O13*R7</f>
        <v>0</v>
      </c>
      <c r="Q13" s="63">
        <v>4</v>
      </c>
      <c r="R13" s="64">
        <v>39</v>
      </c>
      <c r="S13" s="65">
        <f>R7*R13</f>
        <v>547.93772448588868</v>
      </c>
    </row>
    <row r="14" spans="1:19" ht="15.75">
      <c r="A14" s="80">
        <v>46216</v>
      </c>
      <c r="B14" s="401">
        <v>479</v>
      </c>
      <c r="C14" s="440" t="s">
        <v>62</v>
      </c>
      <c r="D14" s="81">
        <v>151</v>
      </c>
      <c r="E14" s="81">
        <v>34</v>
      </c>
      <c r="F14" s="81">
        <v>80</v>
      </c>
      <c r="G14" s="81">
        <v>1162</v>
      </c>
      <c r="H14" s="81">
        <v>283</v>
      </c>
      <c r="I14" s="79">
        <f t="shared" si="0"/>
        <v>0.43243243243243246</v>
      </c>
      <c r="J14" s="79">
        <f t="shared" si="1"/>
        <v>14.525</v>
      </c>
      <c r="K14" s="79">
        <f t="shared" si="2"/>
        <v>1.5297297297297296</v>
      </c>
      <c r="N14" s="63">
        <v>3</v>
      </c>
      <c r="O14" s="64">
        <v>0</v>
      </c>
      <c r="P14" s="65">
        <f>R7*O14</f>
        <v>0</v>
      </c>
      <c r="Q14" s="63">
        <v>5</v>
      </c>
      <c r="R14" s="64">
        <v>0</v>
      </c>
      <c r="S14" s="65">
        <f>R14*R7</f>
        <v>0</v>
      </c>
    </row>
    <row r="15" spans="1:19" ht="15.75">
      <c r="A15" s="80">
        <v>46217</v>
      </c>
      <c r="B15" s="329">
        <v>479</v>
      </c>
      <c r="C15" s="440" t="s">
        <v>62</v>
      </c>
      <c r="D15" s="81">
        <v>152</v>
      </c>
      <c r="E15" s="81">
        <v>24</v>
      </c>
      <c r="F15" s="81">
        <v>63</v>
      </c>
      <c r="G15" s="81">
        <v>947</v>
      </c>
      <c r="H15" s="81">
        <v>128</v>
      </c>
      <c r="I15" s="79">
        <f t="shared" si="0"/>
        <v>0.35795454545454547</v>
      </c>
      <c r="J15" s="79">
        <f t="shared" si="1"/>
        <v>15.031746031746032</v>
      </c>
      <c r="K15" s="79">
        <f t="shared" si="2"/>
        <v>0.72727272727272729</v>
      </c>
      <c r="N15" s="63">
        <v>4</v>
      </c>
      <c r="O15" s="64">
        <v>0</v>
      </c>
      <c r="P15" s="65">
        <f>R7*O15</f>
        <v>0</v>
      </c>
      <c r="Q15" s="63">
        <v>1</v>
      </c>
      <c r="R15" s="64">
        <v>0</v>
      </c>
      <c r="S15" s="65">
        <f>R7*R15</f>
        <v>0</v>
      </c>
    </row>
    <row r="16" spans="1:19" ht="15.75">
      <c r="A16" s="293">
        <v>46219</v>
      </c>
      <c r="B16" s="401">
        <v>479</v>
      </c>
      <c r="C16" s="446" t="s">
        <v>104</v>
      </c>
      <c r="D16" s="360">
        <v>272</v>
      </c>
      <c r="E16" s="81">
        <v>62</v>
      </c>
      <c r="F16" s="81">
        <v>125</v>
      </c>
      <c r="G16" s="81">
        <v>1978</v>
      </c>
      <c r="H16" s="81">
        <v>1073</v>
      </c>
      <c r="I16" s="79">
        <f t="shared" si="0"/>
        <v>0.37425149700598803</v>
      </c>
      <c r="J16" s="79">
        <f t="shared" si="1"/>
        <v>15.824</v>
      </c>
      <c r="K16" s="79">
        <f t="shared" si="2"/>
        <v>3.2125748502994012</v>
      </c>
      <c r="N16" s="63">
        <v>5</v>
      </c>
      <c r="O16" s="64">
        <v>0</v>
      </c>
      <c r="P16" s="65">
        <f>R7*O16</f>
        <v>0</v>
      </c>
      <c r="Q16" s="63"/>
      <c r="R16" s="64">
        <v>0</v>
      </c>
      <c r="S16" s="65">
        <f>R7*R16</f>
        <v>0</v>
      </c>
    </row>
    <row r="17" spans="1:19" ht="15.75">
      <c r="A17" s="80"/>
      <c r="B17" s="333"/>
      <c r="C17" s="402"/>
      <c r="D17" s="81"/>
      <c r="E17" s="81"/>
      <c r="F17" s="81"/>
      <c r="G17" s="81"/>
      <c r="H17" s="81"/>
      <c r="I17" s="79"/>
      <c r="J17" s="79"/>
      <c r="K17" s="79"/>
      <c r="N17" s="63">
        <v>6</v>
      </c>
      <c r="O17" s="64">
        <v>0</v>
      </c>
      <c r="P17" s="65">
        <f>R7*O17</f>
        <v>0</v>
      </c>
      <c r="Q17" s="63"/>
      <c r="R17" s="64">
        <v>0</v>
      </c>
      <c r="S17" s="65">
        <f>R7*R17</f>
        <v>0</v>
      </c>
    </row>
    <row r="18" spans="1:19" ht="15.75">
      <c r="A18" s="80"/>
      <c r="B18" s="335"/>
      <c r="C18" s="402"/>
      <c r="D18" s="81"/>
      <c r="E18" s="81"/>
      <c r="F18" s="81"/>
      <c r="G18" s="81"/>
      <c r="H18" s="81"/>
      <c r="I18" s="79"/>
      <c r="J18" s="79"/>
      <c r="K18" s="79"/>
      <c r="N18" s="63">
        <v>7</v>
      </c>
      <c r="O18" s="64">
        <v>0</v>
      </c>
      <c r="P18" s="65">
        <f>R7*O18</f>
        <v>0</v>
      </c>
      <c r="Q18" s="63"/>
      <c r="R18" s="64">
        <v>0</v>
      </c>
      <c r="S18" s="65">
        <f>R7*R18</f>
        <v>0</v>
      </c>
    </row>
    <row r="19" spans="1:19" ht="15.75">
      <c r="A19" s="80"/>
      <c r="B19" s="364"/>
      <c r="C19" s="402"/>
      <c r="D19" s="81"/>
      <c r="E19" s="81"/>
      <c r="F19" s="81"/>
      <c r="G19" s="81"/>
      <c r="H19" s="81"/>
      <c r="I19" s="79"/>
      <c r="J19" s="79"/>
      <c r="K19" s="79"/>
      <c r="N19" s="63">
        <v>8</v>
      </c>
      <c r="O19" s="64">
        <v>0</v>
      </c>
      <c r="P19" s="65">
        <f>R7*O19</f>
        <v>0</v>
      </c>
      <c r="Q19" s="63"/>
      <c r="R19" s="64">
        <v>0</v>
      </c>
      <c r="S19" s="65">
        <f>R7*R19</f>
        <v>0</v>
      </c>
    </row>
    <row r="20" spans="1:19" ht="15.75">
      <c r="A20" s="80"/>
      <c r="B20" s="407"/>
      <c r="C20" s="402"/>
      <c r="D20" s="81"/>
      <c r="E20" s="81"/>
      <c r="F20" s="81"/>
      <c r="G20" s="81"/>
      <c r="H20" s="81"/>
      <c r="I20" s="79"/>
      <c r="J20" s="79"/>
      <c r="K20" s="79"/>
      <c r="N20" s="63">
        <v>9</v>
      </c>
      <c r="O20" s="64">
        <v>0</v>
      </c>
      <c r="P20" s="65">
        <f>R7*O20</f>
        <v>0</v>
      </c>
      <c r="Q20" s="63"/>
      <c r="R20" s="64">
        <v>0</v>
      </c>
      <c r="S20" s="65">
        <f>R7*R20</f>
        <v>0</v>
      </c>
    </row>
    <row r="21" spans="1:19" ht="15.75" customHeight="1">
      <c r="A21" s="80"/>
      <c r="B21" s="407"/>
      <c r="C21" s="404"/>
      <c r="D21" s="81"/>
      <c r="E21" s="81"/>
      <c r="F21" s="81"/>
      <c r="G21" s="81"/>
      <c r="H21" s="81"/>
      <c r="I21" s="79"/>
      <c r="J21" s="79"/>
      <c r="K21" s="79"/>
      <c r="N21" s="68" t="s">
        <v>53</v>
      </c>
      <c r="O21" s="64">
        <v>0</v>
      </c>
      <c r="P21" s="65">
        <f>R7*O21</f>
        <v>0</v>
      </c>
      <c r="Q21" s="63"/>
      <c r="R21" s="64"/>
      <c r="S21" s="65">
        <f>R7*R21</f>
        <v>0</v>
      </c>
    </row>
    <row r="22" spans="1:19" ht="15.75" customHeight="1">
      <c r="A22" s="127"/>
      <c r="B22" s="137"/>
      <c r="C22" s="407"/>
      <c r="D22" s="81"/>
      <c r="E22" s="81"/>
      <c r="F22" s="81"/>
      <c r="G22" s="81"/>
      <c r="H22" s="81"/>
      <c r="I22" s="79"/>
      <c r="J22" s="79"/>
      <c r="K22" s="79"/>
      <c r="N22" s="59" t="s">
        <v>59</v>
      </c>
      <c r="O22" s="69">
        <f>P8-O12-O13-O14-O15-O16-O17-O18-O19-O20-O21</f>
        <v>79.509297597084654</v>
      </c>
      <c r="P22" s="69">
        <f>Q8-P12-P13-P14-P15-P16-P17-P18-P19-P20-P21</f>
        <v>1117.080605149177</v>
      </c>
      <c r="Q22" s="59" t="s">
        <v>59</v>
      </c>
      <c r="R22" s="69">
        <f>P8-R12-R13-R14-R15-R16-R17-R18-R19-R20-R21</f>
        <v>0.50929759708465383</v>
      </c>
      <c r="S22" s="69">
        <f>Q8-S12-S13-S14-S15-S16-S17-S18-S19-S20-S21</f>
        <v>7.1554709341717171</v>
      </c>
    </row>
    <row r="23" spans="1:19" ht="15.75" customHeight="1">
      <c r="A23" s="80"/>
      <c r="B23" s="155"/>
      <c r="C23" s="407"/>
      <c r="D23" s="81"/>
      <c r="E23" s="81"/>
      <c r="F23" s="81"/>
      <c r="G23" s="81"/>
      <c r="H23" s="81"/>
      <c r="I23" s="79"/>
      <c r="J23" s="79"/>
      <c r="K23" s="79"/>
      <c r="N23" s="59" t="s">
        <v>60</v>
      </c>
      <c r="O23" s="62">
        <f>O12+O13+O14+O15+O16+O17+O18+O19+O20+O21</f>
        <v>0</v>
      </c>
      <c r="P23" s="62">
        <f>P12+P13+P14+P15+P16+P17+P18+P19+P20+P21</f>
        <v>0</v>
      </c>
      <c r="Q23" s="59" t="s">
        <v>60</v>
      </c>
      <c r="R23" s="62">
        <f>R12+R13+R14+R15+R16+R17+R18+R19+R20+R21</f>
        <v>79</v>
      </c>
      <c r="S23" s="62">
        <f>S12+S13+S14+S15+S16+S17+S18+S19+S20+S21</f>
        <v>1109.9251342150053</v>
      </c>
    </row>
    <row r="24" spans="1:19" ht="15.75" customHeight="1">
      <c r="A24" s="80"/>
      <c r="B24" s="407"/>
      <c r="C24" s="407"/>
      <c r="D24" s="81"/>
      <c r="E24" s="81"/>
      <c r="F24" s="81"/>
      <c r="G24" s="81"/>
      <c r="H24" s="81"/>
      <c r="I24" s="79"/>
      <c r="J24" s="79"/>
      <c r="K24" s="79"/>
    </row>
    <row r="25" spans="1:19" ht="15.75" customHeight="1">
      <c r="A25" s="80"/>
      <c r="B25" s="409"/>
      <c r="C25" s="409"/>
      <c r="D25" s="81"/>
      <c r="E25" s="81"/>
      <c r="F25" s="81"/>
      <c r="G25" s="81"/>
      <c r="H25" s="81"/>
      <c r="I25" s="79"/>
      <c r="J25" s="79"/>
      <c r="K25" s="79"/>
    </row>
    <row r="26" spans="1:19" ht="15.75" customHeight="1">
      <c r="A26" s="80"/>
      <c r="B26" s="139"/>
      <c r="C26" s="413"/>
      <c r="D26" s="81"/>
      <c r="E26" s="81"/>
      <c r="F26" s="81"/>
      <c r="G26" s="81"/>
      <c r="H26" s="81"/>
      <c r="I26" s="79"/>
      <c r="J26" s="79"/>
      <c r="K26" s="79"/>
    </row>
    <row r="27" spans="1:19" ht="15.75" customHeight="1">
      <c r="A27" s="80"/>
      <c r="B27" s="140"/>
      <c r="C27" s="415"/>
      <c r="D27" s="81"/>
      <c r="E27" s="81"/>
      <c r="F27" s="81"/>
      <c r="G27" s="81"/>
      <c r="H27" s="81"/>
      <c r="I27" s="79"/>
      <c r="J27" s="79"/>
      <c r="K27" s="79"/>
    </row>
    <row r="28" spans="1:19" ht="15.75" customHeight="1">
      <c r="A28" s="80"/>
      <c r="B28" s="140"/>
      <c r="C28" s="417"/>
      <c r="D28" s="81"/>
      <c r="E28" s="81"/>
      <c r="F28" s="81"/>
      <c r="G28" s="81"/>
      <c r="H28" s="81"/>
      <c r="I28" s="79"/>
      <c r="J28" s="79"/>
      <c r="K28" s="79"/>
    </row>
    <row r="29" spans="1:19" ht="15.75" customHeight="1">
      <c r="A29" s="80"/>
      <c r="B29" s="129"/>
      <c r="C29" s="245"/>
      <c r="D29" s="81"/>
      <c r="E29" s="81"/>
      <c r="F29" s="81"/>
      <c r="G29" s="81"/>
      <c r="H29" s="81"/>
      <c r="I29" s="79"/>
      <c r="J29" s="79"/>
      <c r="K29" s="79"/>
    </row>
    <row r="30" spans="1:19" ht="15.75" customHeight="1">
      <c r="A30" s="80"/>
      <c r="B30" s="144"/>
      <c r="C30" s="158"/>
      <c r="D30" s="81"/>
      <c r="E30" s="81"/>
      <c r="F30" s="81"/>
      <c r="G30" s="81"/>
      <c r="H30" s="81"/>
      <c r="I30" s="79"/>
      <c r="J30" s="79"/>
      <c r="K30" s="79"/>
    </row>
    <row r="31" spans="1:19" ht="15.75" customHeight="1">
      <c r="A31" s="80"/>
      <c r="B31" s="131"/>
      <c r="C31" s="158"/>
      <c r="D31" s="81"/>
      <c r="E31" s="81"/>
      <c r="F31" s="81"/>
      <c r="G31" s="81"/>
      <c r="H31" s="81"/>
      <c r="I31" s="79"/>
      <c r="J31" s="79"/>
      <c r="K31" s="79"/>
    </row>
    <row r="32" spans="1:19" ht="15.75" customHeight="1">
      <c r="A32" s="80"/>
      <c r="B32" s="148"/>
      <c r="C32" s="148"/>
      <c r="D32" s="81"/>
      <c r="E32" s="81"/>
      <c r="F32" s="81"/>
      <c r="G32" s="81"/>
      <c r="H32" s="81"/>
      <c r="I32" s="79"/>
      <c r="J32" s="79"/>
      <c r="K32" s="79"/>
    </row>
    <row r="33" spans="1:11" ht="15.75" customHeight="1">
      <c r="A33" s="80"/>
      <c r="B33" s="81"/>
      <c r="C33" s="151"/>
      <c r="D33" s="81"/>
      <c r="E33" s="81"/>
      <c r="F33" s="81"/>
      <c r="G33" s="81"/>
      <c r="H33" s="81"/>
      <c r="I33" s="79"/>
      <c r="J33" s="79"/>
      <c r="K33" s="79"/>
    </row>
    <row r="34" spans="1:11" ht="15.75" customHeight="1"/>
    <row r="35" spans="1:11" ht="15.75" customHeight="1"/>
    <row r="36" spans="1:11" ht="15.75" customHeight="1"/>
    <row r="37" spans="1:11" ht="15.75" customHeight="1"/>
    <row r="38" spans="1:11" ht="15.75" customHeight="1"/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67"/>
      <c r="O55" s="67"/>
      <c r="P55" s="67"/>
      <c r="Q55" s="67"/>
      <c r="R55" s="67"/>
      <c r="S55" s="67"/>
    </row>
    <row r="56" spans="14:19" ht="15.75" customHeight="1">
      <c r="N56" s="72"/>
      <c r="O56" s="72"/>
      <c r="P56" s="72"/>
      <c r="Q56" s="72"/>
      <c r="R56" s="72"/>
      <c r="S56" s="7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81.xml><?xml version="1.0" encoding="utf-8"?>
<worksheet xmlns="http://schemas.openxmlformats.org/spreadsheetml/2006/main" xmlns:r="http://schemas.openxmlformats.org/officeDocument/2006/relationships">
  <dimension ref="A1:S1000"/>
  <sheetViews>
    <sheetView workbookViewId="0">
      <selection activeCell="K9" sqref="K9:K10"/>
    </sheetView>
  </sheetViews>
  <sheetFormatPr defaultColWidth="14.42578125" defaultRowHeight="15" customHeight="1"/>
  <cols>
    <col min="1" max="1" width="11.7109375" style="49" customWidth="1"/>
    <col min="2" max="8" width="8.7109375" style="49" customWidth="1"/>
    <col min="9" max="9" width="14" style="49" customWidth="1"/>
    <col min="10" max="10" width="15.5703125" style="49" customWidth="1"/>
    <col min="11" max="11" width="12.85546875" style="49" customWidth="1"/>
    <col min="12" max="13" width="8.7109375" style="49" customWidth="1"/>
    <col min="14" max="14" width="12" style="49" customWidth="1"/>
    <col min="15" max="15" width="11.5703125" style="49" customWidth="1"/>
    <col min="16" max="16" width="13.5703125" style="49" customWidth="1"/>
    <col min="17" max="17" width="12" style="49" customWidth="1"/>
    <col min="18" max="18" width="10.42578125" style="49" customWidth="1"/>
    <col min="19" max="19" width="12.7109375" style="49" customWidth="1"/>
    <col min="20" max="16384" width="14.42578125" style="49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101</v>
      </c>
    </row>
    <row r="3" spans="1:19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9">
      <c r="A4" s="73" t="s">
        <v>66</v>
      </c>
      <c r="B4" s="73" t="s">
        <v>124</v>
      </c>
      <c r="C4" s="510">
        <f>AVERAGEA(I7:I37)</f>
        <v>0.55776868710430016</v>
      </c>
      <c r="D4" s="511"/>
      <c r="E4" s="510">
        <f>AVERAGEA(J7:J37)</f>
        <v>13.716482276762475</v>
      </c>
      <c r="F4" s="511"/>
      <c r="G4" s="510">
        <f>AVERAGEA(K7:K37)</f>
        <v>1.7036661824664594</v>
      </c>
      <c r="H4" s="511"/>
      <c r="I4" s="74">
        <f>C4*K2</f>
        <v>56.334637397534316</v>
      </c>
      <c r="J4" s="74">
        <f>I4*E4</f>
        <v>772.71305543111998</v>
      </c>
      <c r="K4" s="74">
        <f>K2*G4</f>
        <v>172.07028442911241</v>
      </c>
    </row>
    <row r="5" spans="1:19" ht="15" customHeight="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  <c r="N6" s="520"/>
      <c r="O6" s="520"/>
      <c r="P6" s="520"/>
      <c r="Q6" s="520"/>
      <c r="R6" s="520"/>
      <c r="S6" s="520"/>
    </row>
    <row r="7" spans="1:19" ht="15.75">
      <c r="A7" s="77">
        <v>46206</v>
      </c>
      <c r="B7" s="78" t="s">
        <v>136</v>
      </c>
      <c r="C7" s="78" t="s">
        <v>65</v>
      </c>
      <c r="D7" s="78">
        <v>63</v>
      </c>
      <c r="E7" s="78">
        <v>11</v>
      </c>
      <c r="F7" s="78">
        <v>43</v>
      </c>
      <c r="G7" s="78">
        <v>589</v>
      </c>
      <c r="H7" s="78">
        <v>73</v>
      </c>
      <c r="I7" s="79">
        <f t="shared" ref="I7:I10" si="0">F7/(D7+E7)</f>
        <v>0.58108108108108103</v>
      </c>
      <c r="J7" s="79">
        <f t="shared" ref="J7:J10" si="1">G7/F7</f>
        <v>13.697674418604651</v>
      </c>
      <c r="K7" s="79">
        <f t="shared" ref="K7:K10" si="2">H7/(D7+E7)</f>
        <v>0.98648648648648651</v>
      </c>
      <c r="N7" s="59" t="s">
        <v>49</v>
      </c>
      <c r="O7" s="60">
        <f>K2</f>
        <v>101</v>
      </c>
      <c r="P7" s="61">
        <f>I4</f>
        <v>56.334637397534316</v>
      </c>
      <c r="Q7" s="61">
        <f>J4</f>
        <v>772.71305543111998</v>
      </c>
      <c r="R7" s="539">
        <f>Q7/P7</f>
        <v>13.716482276762475</v>
      </c>
      <c r="S7" s="539">
        <f>P7/O7</f>
        <v>0.55776868710430016</v>
      </c>
    </row>
    <row r="8" spans="1:19" ht="15.75">
      <c r="A8" s="80">
        <v>46211</v>
      </c>
      <c r="B8" s="430" t="s">
        <v>136</v>
      </c>
      <c r="C8" s="430" t="s">
        <v>65</v>
      </c>
      <c r="D8" s="81">
        <v>68</v>
      </c>
      <c r="E8" s="81">
        <v>13</v>
      </c>
      <c r="F8" s="81">
        <v>48</v>
      </c>
      <c r="G8" s="81">
        <v>686</v>
      </c>
      <c r="H8" s="81">
        <v>94</v>
      </c>
      <c r="I8" s="79">
        <f t="shared" si="0"/>
        <v>0.59259259259259256</v>
      </c>
      <c r="J8" s="79">
        <f t="shared" si="1"/>
        <v>14.291666666666666</v>
      </c>
      <c r="K8" s="79">
        <f t="shared" si="2"/>
        <v>1.1604938271604939</v>
      </c>
      <c r="N8" s="59" t="s">
        <v>50</v>
      </c>
      <c r="O8" s="60">
        <f>O7</f>
        <v>101</v>
      </c>
      <c r="P8" s="62">
        <f>O8*S7</f>
        <v>56.334637397534316</v>
      </c>
      <c r="Q8" s="62">
        <f>P8*R7</f>
        <v>772.71305543111998</v>
      </c>
      <c r="R8" s="520"/>
      <c r="S8" s="520"/>
    </row>
    <row r="9" spans="1:19">
      <c r="A9" s="80">
        <v>46213</v>
      </c>
      <c r="B9" s="433" t="s">
        <v>136</v>
      </c>
      <c r="C9" s="433" t="s">
        <v>65</v>
      </c>
      <c r="D9" s="81">
        <v>72</v>
      </c>
      <c r="E9" s="81">
        <v>17</v>
      </c>
      <c r="F9" s="81">
        <v>38</v>
      </c>
      <c r="G9" s="81">
        <v>507</v>
      </c>
      <c r="H9" s="81">
        <v>250</v>
      </c>
      <c r="I9" s="79">
        <f t="shared" si="0"/>
        <v>0.42696629213483145</v>
      </c>
      <c r="J9" s="79">
        <f t="shared" si="1"/>
        <v>13.342105263157896</v>
      </c>
      <c r="K9" s="79">
        <f t="shared" si="2"/>
        <v>2.808988764044944</v>
      </c>
      <c r="N9" s="521" t="s">
        <v>51</v>
      </c>
      <c r="O9" s="516"/>
      <c r="P9" s="516"/>
      <c r="Q9" s="516"/>
      <c r="R9" s="516"/>
      <c r="S9" s="511"/>
    </row>
    <row r="10" spans="1:19">
      <c r="A10" s="80">
        <v>46217</v>
      </c>
      <c r="B10" s="440" t="s">
        <v>136</v>
      </c>
      <c r="C10" s="440" t="s">
        <v>65</v>
      </c>
      <c r="D10" s="81">
        <v>73</v>
      </c>
      <c r="E10" s="81">
        <v>19</v>
      </c>
      <c r="F10" s="81">
        <v>58</v>
      </c>
      <c r="G10" s="81">
        <v>785</v>
      </c>
      <c r="H10" s="81">
        <v>171</v>
      </c>
      <c r="I10" s="79">
        <f t="shared" si="0"/>
        <v>0.63043478260869568</v>
      </c>
      <c r="J10" s="79">
        <f t="shared" si="1"/>
        <v>13.53448275862069</v>
      </c>
      <c r="K10" s="79">
        <f t="shared" si="2"/>
        <v>1.8586956521739131</v>
      </c>
      <c r="N10" s="521" t="s">
        <v>52</v>
      </c>
      <c r="O10" s="516"/>
      <c r="P10" s="511"/>
      <c r="Q10" s="521" t="s">
        <v>53</v>
      </c>
      <c r="R10" s="516"/>
      <c r="S10" s="511"/>
    </row>
    <row r="11" spans="1:19">
      <c r="A11" s="188"/>
      <c r="B11" s="383"/>
      <c r="C11" s="409"/>
      <c r="D11" s="81"/>
      <c r="E11" s="81"/>
      <c r="F11" s="81"/>
      <c r="G11" s="81"/>
      <c r="H11" s="81"/>
      <c r="I11" s="79"/>
      <c r="J11" s="79"/>
      <c r="K11" s="79"/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.75">
      <c r="A12" s="80"/>
      <c r="B12" s="385"/>
      <c r="C12" s="385"/>
      <c r="D12" s="81"/>
      <c r="E12" s="81"/>
      <c r="F12" s="81"/>
      <c r="G12" s="81"/>
      <c r="H12" s="81"/>
      <c r="I12" s="79"/>
      <c r="J12" s="79"/>
      <c r="K12" s="79"/>
      <c r="N12" s="63">
        <v>1</v>
      </c>
      <c r="O12" s="64">
        <v>0</v>
      </c>
      <c r="P12" s="65">
        <f>O12*R7</f>
        <v>0</v>
      </c>
      <c r="Q12" s="63">
        <v>3</v>
      </c>
      <c r="R12" s="64">
        <v>50</v>
      </c>
      <c r="S12" s="65">
        <f>R12*R7</f>
        <v>685.82411383812371</v>
      </c>
    </row>
    <row r="13" spans="1:19" ht="15.75">
      <c r="A13" s="80"/>
      <c r="B13" s="386"/>
      <c r="C13" s="386"/>
      <c r="D13" s="81"/>
      <c r="E13" s="81"/>
      <c r="F13" s="81"/>
      <c r="G13" s="81"/>
      <c r="H13" s="81"/>
      <c r="I13" s="79"/>
      <c r="J13" s="79"/>
      <c r="K13" s="79"/>
      <c r="N13" s="63">
        <v>2</v>
      </c>
      <c r="O13" s="64">
        <v>0</v>
      </c>
      <c r="P13" s="65">
        <f>O13*R7</f>
        <v>0</v>
      </c>
      <c r="Q13" s="63">
        <v>4</v>
      </c>
      <c r="R13" s="64">
        <v>30</v>
      </c>
      <c r="S13" s="65">
        <f>R7*R13</f>
        <v>411.49446830287428</v>
      </c>
    </row>
    <row r="14" spans="1:19" ht="15.75">
      <c r="A14" s="180"/>
      <c r="B14" s="270"/>
      <c r="C14" s="270"/>
      <c r="D14" s="81"/>
      <c r="E14" s="81"/>
      <c r="F14" s="81"/>
      <c r="G14" s="81"/>
      <c r="H14" s="81"/>
      <c r="I14" s="79"/>
      <c r="J14" s="79"/>
      <c r="K14" s="79"/>
      <c r="N14" s="63">
        <v>3</v>
      </c>
      <c r="O14" s="64">
        <v>0</v>
      </c>
      <c r="P14" s="65">
        <f>R7*O14</f>
        <v>0</v>
      </c>
      <c r="Q14" s="63">
        <v>5</v>
      </c>
      <c r="R14" s="64">
        <v>0</v>
      </c>
      <c r="S14" s="65">
        <f>R14*R7</f>
        <v>0</v>
      </c>
    </row>
    <row r="15" spans="1:19" ht="15.75">
      <c r="A15" s="80"/>
      <c r="B15" s="255"/>
      <c r="C15" s="255"/>
      <c r="D15" s="81"/>
      <c r="E15" s="81"/>
      <c r="F15" s="81"/>
      <c r="G15" s="81"/>
      <c r="H15" s="81"/>
      <c r="I15" s="79"/>
      <c r="J15" s="79"/>
      <c r="K15" s="79"/>
      <c r="N15" s="63">
        <v>4</v>
      </c>
      <c r="O15" s="64">
        <v>0</v>
      </c>
      <c r="P15" s="65">
        <f>R7*O15</f>
        <v>0</v>
      </c>
      <c r="Q15" s="63">
        <v>1</v>
      </c>
      <c r="R15" s="64">
        <v>0</v>
      </c>
      <c r="S15" s="65">
        <f>R7*R15</f>
        <v>0</v>
      </c>
    </row>
    <row r="16" spans="1:19" ht="15.75">
      <c r="A16" s="80"/>
      <c r="B16" s="81"/>
      <c r="C16" s="156"/>
      <c r="D16" s="81"/>
      <c r="E16" s="81"/>
      <c r="F16" s="81"/>
      <c r="G16" s="81"/>
      <c r="H16" s="81"/>
      <c r="I16" s="79"/>
      <c r="J16" s="79"/>
      <c r="K16" s="79"/>
      <c r="N16" s="63">
        <v>5</v>
      </c>
      <c r="O16" s="64">
        <v>0</v>
      </c>
      <c r="P16" s="65">
        <f>R7*O16</f>
        <v>0</v>
      </c>
      <c r="Q16" s="63"/>
      <c r="R16" s="64">
        <v>0</v>
      </c>
      <c r="S16" s="65">
        <f>R7*R16</f>
        <v>0</v>
      </c>
    </row>
    <row r="17" spans="1:19" ht="15.75">
      <c r="A17" s="80"/>
      <c r="B17" s="81"/>
      <c r="C17" s="157"/>
      <c r="D17" s="81"/>
      <c r="E17" s="81"/>
      <c r="F17" s="81"/>
      <c r="G17" s="81"/>
      <c r="H17" s="81"/>
      <c r="I17" s="79"/>
      <c r="J17" s="79"/>
      <c r="K17" s="79"/>
      <c r="N17" s="63">
        <v>6</v>
      </c>
      <c r="O17" s="64">
        <v>0</v>
      </c>
      <c r="P17" s="65">
        <f>R7*O17</f>
        <v>0</v>
      </c>
      <c r="Q17" s="63"/>
      <c r="R17" s="64">
        <v>0</v>
      </c>
      <c r="S17" s="65">
        <f>R7*R17</f>
        <v>0</v>
      </c>
    </row>
    <row r="18" spans="1:19" ht="15.75">
      <c r="A18" s="80"/>
      <c r="B18" s="81"/>
      <c r="C18" s="158"/>
      <c r="D18" s="81"/>
      <c r="E18" s="81"/>
      <c r="F18" s="81"/>
      <c r="G18" s="81"/>
      <c r="H18" s="81"/>
      <c r="I18" s="79"/>
      <c r="J18" s="79"/>
      <c r="K18" s="79"/>
      <c r="N18" s="63">
        <v>7</v>
      </c>
      <c r="O18" s="64">
        <v>0</v>
      </c>
      <c r="P18" s="65">
        <f>R7*O18</f>
        <v>0</v>
      </c>
      <c r="Q18" s="63"/>
      <c r="R18" s="64">
        <v>0</v>
      </c>
      <c r="S18" s="65">
        <f>R7*R18</f>
        <v>0</v>
      </c>
    </row>
    <row r="19" spans="1:19" ht="15.75">
      <c r="A19" s="80"/>
      <c r="B19" s="81"/>
      <c r="C19" s="149"/>
      <c r="D19" s="81"/>
      <c r="E19" s="81"/>
      <c r="F19" s="81"/>
      <c r="G19" s="81"/>
      <c r="H19" s="81"/>
      <c r="I19" s="79"/>
      <c r="J19" s="79"/>
      <c r="K19" s="79"/>
      <c r="N19" s="63">
        <v>8</v>
      </c>
      <c r="O19" s="64">
        <v>0</v>
      </c>
      <c r="P19" s="65">
        <f>R7*O19</f>
        <v>0</v>
      </c>
      <c r="Q19" s="63"/>
      <c r="R19" s="64">
        <v>0</v>
      </c>
      <c r="S19" s="65">
        <f>R7*R19</f>
        <v>0</v>
      </c>
    </row>
    <row r="20" spans="1:19" ht="15.75">
      <c r="A20" s="80"/>
      <c r="B20" s="81"/>
      <c r="C20" s="132"/>
      <c r="D20" s="81"/>
      <c r="E20" s="81"/>
      <c r="F20" s="81"/>
      <c r="G20" s="81"/>
      <c r="H20" s="81"/>
      <c r="I20" s="79"/>
      <c r="J20" s="79"/>
      <c r="K20" s="79"/>
      <c r="N20" s="63">
        <v>9</v>
      </c>
      <c r="O20" s="64">
        <v>0</v>
      </c>
      <c r="P20" s="65">
        <f>R7*O20</f>
        <v>0</v>
      </c>
      <c r="Q20" s="63"/>
      <c r="R20" s="64">
        <v>0</v>
      </c>
      <c r="S20" s="65">
        <f>R7*R20</f>
        <v>0</v>
      </c>
    </row>
    <row r="21" spans="1:19" ht="15.75" customHeight="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N21" s="68" t="s">
        <v>53</v>
      </c>
      <c r="O21" s="64">
        <v>0</v>
      </c>
      <c r="P21" s="65">
        <f>R7*O21</f>
        <v>0</v>
      </c>
      <c r="Q21" s="63"/>
      <c r="R21" s="64"/>
      <c r="S21" s="65">
        <f>R7*R21</f>
        <v>0</v>
      </c>
    </row>
    <row r="22" spans="1:19" ht="15.75" customHeight="1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N22" s="59" t="s">
        <v>59</v>
      </c>
      <c r="O22" s="69">
        <f>P8-O12-O13-O14-O15-O16-O17-O18-O19-O20-O21</f>
        <v>56.334637397534316</v>
      </c>
      <c r="P22" s="69">
        <f>Q8-P12-P13-P14-P15-P16-P17-P18-P19-P20-P21</f>
        <v>772.71305543111998</v>
      </c>
      <c r="Q22" s="59" t="s">
        <v>59</v>
      </c>
      <c r="R22" s="69">
        <f>P8-R12-R13-R14-R15-R16-R17-R18-R19-R20-R21</f>
        <v>-23.665362602465684</v>
      </c>
      <c r="S22" s="69">
        <f>Q8-S12-S13-S14-S15-S16-S17-S18-S19-S20-S21</f>
        <v>-324.60552670987801</v>
      </c>
    </row>
    <row r="23" spans="1:19" ht="15.75" customHeight="1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N23" s="59" t="s">
        <v>60</v>
      </c>
      <c r="O23" s="62">
        <f>O12+O13+O14+O15+O16+O17+O18+O19+O20+O21</f>
        <v>0</v>
      </c>
      <c r="P23" s="62">
        <f>P12+P13+P14+P15+P16+P17+P18+P19+P20+P21</f>
        <v>0</v>
      </c>
      <c r="Q23" s="59" t="s">
        <v>60</v>
      </c>
      <c r="R23" s="62">
        <f>R12+R13+R14+R15+R16+R17+R18+R19+R20+R21</f>
        <v>80</v>
      </c>
      <c r="S23" s="62">
        <f>S12+S13+S14+S15+S16+S17+S18+S19+S20+S21</f>
        <v>1097.3185821409979</v>
      </c>
    </row>
    <row r="24" spans="1:19" ht="15.75" customHeight="1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</row>
    <row r="25" spans="1:19" ht="15.75" customHeight="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</row>
    <row r="26" spans="1:19" ht="15.75" customHeight="1"/>
    <row r="27" spans="1:19" ht="15.75" customHeight="1"/>
    <row r="28" spans="1:19" ht="15.75" customHeight="1"/>
    <row r="29" spans="1:19" ht="15.75" customHeight="1"/>
    <row r="30" spans="1:19" ht="15.75" customHeight="1"/>
    <row r="31" spans="1:19" ht="15.75" customHeight="1"/>
    <row r="32" spans="1:1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67"/>
      <c r="O55" s="67"/>
      <c r="P55" s="67"/>
      <c r="Q55" s="67"/>
      <c r="R55" s="67"/>
      <c r="S55" s="67"/>
    </row>
    <row r="56" spans="14:19" ht="15.75" customHeight="1">
      <c r="N56" s="72"/>
      <c r="O56" s="72"/>
      <c r="P56" s="72"/>
      <c r="Q56" s="72"/>
      <c r="R56" s="72"/>
      <c r="S56" s="7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O5:O6"/>
    <mergeCell ref="N10:P10"/>
    <mergeCell ref="Q10:S10"/>
    <mergeCell ref="Q5:Q6"/>
    <mergeCell ref="R5:R6"/>
    <mergeCell ref="S5:S6"/>
    <mergeCell ref="R7:R8"/>
    <mergeCell ref="S7:S8"/>
    <mergeCell ref="N9:S9"/>
    <mergeCell ref="P5:P6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82.xml><?xml version="1.0" encoding="utf-8"?>
<worksheet xmlns="http://schemas.openxmlformats.org/spreadsheetml/2006/main" xmlns:r="http://schemas.openxmlformats.org/officeDocument/2006/relationships">
  <sheetPr codeName="Лист52">
    <outlinePr summaryBelow="0" summaryRight="0"/>
  </sheetPr>
  <dimension ref="A1:S1000"/>
  <sheetViews>
    <sheetView workbookViewId="0">
      <selection activeCell="K8" sqref="K8:K9"/>
    </sheetView>
  </sheetViews>
  <sheetFormatPr defaultColWidth="14.42578125" defaultRowHeight="15" customHeight="1"/>
  <cols>
    <col min="1" max="1" width="11.140625" style="49" customWidth="1"/>
    <col min="2" max="8" width="8.7109375" style="49" customWidth="1"/>
    <col min="9" max="9" width="14" style="49" customWidth="1"/>
    <col min="10" max="10" width="15.5703125" style="49" customWidth="1"/>
    <col min="11" max="11" width="12.85546875" style="49" customWidth="1"/>
    <col min="12" max="13" width="8.7109375" style="49" customWidth="1"/>
    <col min="14" max="14" width="12" style="49" customWidth="1"/>
    <col min="15" max="15" width="11.5703125" style="49" customWidth="1"/>
    <col min="16" max="16" width="13.5703125" style="49" customWidth="1"/>
    <col min="17" max="17" width="12" style="49" customWidth="1"/>
    <col min="18" max="18" width="10.42578125" style="49" customWidth="1"/>
    <col min="19" max="19" width="12.7109375" style="49" customWidth="1"/>
    <col min="20" max="16384" width="14.42578125" style="49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195</v>
      </c>
    </row>
    <row r="3" spans="1:19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9">
      <c r="A4" s="73" t="s">
        <v>66</v>
      </c>
      <c r="B4" s="73" t="s">
        <v>102</v>
      </c>
      <c r="C4" s="510">
        <f>AVERAGEA(I7:I33)</f>
        <v>0.48672833279934175</v>
      </c>
      <c r="D4" s="511"/>
      <c r="E4" s="510">
        <f>AVERAGEA(J7:J33)</f>
        <v>13.081927459409826</v>
      </c>
      <c r="F4" s="511"/>
      <c r="G4" s="510">
        <f>AVERAGEA(K7:K33)</f>
        <v>1.15648059612191</v>
      </c>
      <c r="H4" s="511"/>
      <c r="I4" s="74">
        <f>C4*K2</f>
        <v>94.912024895871639</v>
      </c>
      <c r="J4" s="74">
        <f>I4*E4</f>
        <v>1241.6322247134922</v>
      </c>
      <c r="K4" s="74">
        <f>K2*G4</f>
        <v>225.51371624377245</v>
      </c>
    </row>
    <row r="5" spans="1:19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  <c r="N6" s="520"/>
      <c r="O6" s="520"/>
      <c r="P6" s="520"/>
      <c r="Q6" s="520"/>
      <c r="R6" s="520"/>
      <c r="S6" s="520"/>
    </row>
    <row r="7" spans="1:19" ht="15.75">
      <c r="A7" s="77">
        <v>46206</v>
      </c>
      <c r="B7" s="78" t="s">
        <v>135</v>
      </c>
      <c r="C7" s="78" t="s">
        <v>73</v>
      </c>
      <c r="D7" s="78">
        <v>131</v>
      </c>
      <c r="E7" s="78">
        <v>32</v>
      </c>
      <c r="F7" s="78">
        <v>65</v>
      </c>
      <c r="G7" s="78">
        <v>852</v>
      </c>
      <c r="H7" s="78">
        <v>241</v>
      </c>
      <c r="I7" s="79">
        <f t="shared" ref="I7:I9" si="0">F7/(D7+E7)</f>
        <v>0.3987730061349693</v>
      </c>
      <c r="J7" s="79">
        <f t="shared" ref="J7:J9" si="1">G7/F7</f>
        <v>13.107692307692307</v>
      </c>
      <c r="K7" s="79">
        <f t="shared" ref="K7:K9" si="2">H7/(D7+E7)</f>
        <v>1.4785276073619631</v>
      </c>
      <c r="N7" s="59" t="s">
        <v>49</v>
      </c>
      <c r="O7" s="60">
        <f>K2</f>
        <v>195</v>
      </c>
      <c r="P7" s="61">
        <f>I4</f>
        <v>94.912024895871639</v>
      </c>
      <c r="Q7" s="61">
        <f>J4</f>
        <v>1241.6322247134922</v>
      </c>
      <c r="R7" s="539">
        <f>Q7/P7</f>
        <v>13.081927459409826</v>
      </c>
      <c r="S7" s="539">
        <f>P7/O7</f>
        <v>0.48672833279934175</v>
      </c>
    </row>
    <row r="8" spans="1:19" ht="15.75">
      <c r="A8" s="300">
        <v>46213</v>
      </c>
      <c r="B8" s="433" t="s">
        <v>135</v>
      </c>
      <c r="C8" s="433" t="s">
        <v>73</v>
      </c>
      <c r="D8" s="81">
        <v>184</v>
      </c>
      <c r="E8" s="81">
        <v>25</v>
      </c>
      <c r="F8" s="81">
        <v>114</v>
      </c>
      <c r="G8" s="81">
        <v>1419</v>
      </c>
      <c r="H8" s="81">
        <v>226</v>
      </c>
      <c r="I8" s="79">
        <f t="shared" si="0"/>
        <v>0.54545454545454541</v>
      </c>
      <c r="J8" s="79">
        <f t="shared" si="1"/>
        <v>12.447368421052632</v>
      </c>
      <c r="K8" s="79">
        <f t="shared" si="2"/>
        <v>1.0813397129186604</v>
      </c>
      <c r="N8" s="59" t="s">
        <v>50</v>
      </c>
      <c r="O8" s="60">
        <f>O7</f>
        <v>195</v>
      </c>
      <c r="P8" s="62">
        <f>O8*S7</f>
        <v>94.912024895871639</v>
      </c>
      <c r="Q8" s="62">
        <f>P8*R7</f>
        <v>1241.6322247134922</v>
      </c>
      <c r="R8" s="520"/>
      <c r="S8" s="520"/>
    </row>
    <row r="9" spans="1:19">
      <c r="A9" s="80">
        <v>46217</v>
      </c>
      <c r="B9" s="440" t="s">
        <v>135</v>
      </c>
      <c r="C9" s="440" t="s">
        <v>73</v>
      </c>
      <c r="D9" s="81">
        <v>158</v>
      </c>
      <c r="E9" s="81">
        <v>30</v>
      </c>
      <c r="F9" s="81">
        <v>97</v>
      </c>
      <c r="G9" s="81">
        <v>1328</v>
      </c>
      <c r="H9" s="81">
        <v>171</v>
      </c>
      <c r="I9" s="79">
        <f t="shared" si="0"/>
        <v>0.51595744680851063</v>
      </c>
      <c r="J9" s="79">
        <f t="shared" si="1"/>
        <v>13.690721649484535</v>
      </c>
      <c r="K9" s="79">
        <f t="shared" si="2"/>
        <v>0.90957446808510634</v>
      </c>
      <c r="N9" s="521" t="s">
        <v>51</v>
      </c>
      <c r="O9" s="516"/>
      <c r="P9" s="516"/>
      <c r="Q9" s="516"/>
      <c r="R9" s="516"/>
      <c r="S9" s="511"/>
    </row>
    <row r="10" spans="1:19">
      <c r="A10" s="80"/>
      <c r="B10" s="402"/>
      <c r="C10" s="402"/>
      <c r="D10" s="81"/>
      <c r="E10" s="81"/>
      <c r="F10" s="81"/>
      <c r="G10" s="81"/>
      <c r="H10" s="81"/>
      <c r="I10" s="79"/>
      <c r="J10" s="79"/>
      <c r="K10" s="79"/>
      <c r="N10" s="521" t="s">
        <v>52</v>
      </c>
      <c r="O10" s="516"/>
      <c r="P10" s="511"/>
      <c r="Q10" s="521" t="s">
        <v>53</v>
      </c>
      <c r="R10" s="516"/>
      <c r="S10" s="511"/>
    </row>
    <row r="11" spans="1:19">
      <c r="A11" s="80"/>
      <c r="B11" s="404"/>
      <c r="C11" s="404"/>
      <c r="D11" s="81"/>
      <c r="E11" s="81"/>
      <c r="F11" s="81"/>
      <c r="G11" s="81"/>
      <c r="H11" s="81"/>
      <c r="I11" s="79"/>
      <c r="J11" s="79"/>
      <c r="K11" s="79"/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.75">
      <c r="A12" s="80"/>
      <c r="B12" s="407"/>
      <c r="C12" s="407"/>
      <c r="D12" s="81"/>
      <c r="E12" s="81"/>
      <c r="F12" s="81"/>
      <c r="G12" s="81"/>
      <c r="H12" s="81"/>
      <c r="I12" s="79"/>
      <c r="J12" s="79"/>
      <c r="K12" s="79"/>
      <c r="N12" s="63">
        <v>1</v>
      </c>
      <c r="O12" s="64">
        <v>0</v>
      </c>
      <c r="P12" s="65">
        <f>O12*R7</f>
        <v>0</v>
      </c>
      <c r="Q12" s="63">
        <v>3</v>
      </c>
      <c r="R12" s="64">
        <v>30</v>
      </c>
      <c r="S12" s="65">
        <f>R12*R7</f>
        <v>392.45782378229478</v>
      </c>
    </row>
    <row r="13" spans="1:19" ht="15.75">
      <c r="A13" s="80"/>
      <c r="B13" s="417"/>
      <c r="C13" s="417"/>
      <c r="D13" s="81"/>
      <c r="E13" s="81"/>
      <c r="F13" s="81"/>
      <c r="G13" s="81"/>
      <c r="H13" s="81"/>
      <c r="I13" s="79"/>
      <c r="J13" s="79"/>
      <c r="K13" s="79"/>
      <c r="N13" s="63">
        <v>2</v>
      </c>
      <c r="O13" s="64">
        <v>0</v>
      </c>
      <c r="P13" s="65">
        <f>O13*R7</f>
        <v>0</v>
      </c>
      <c r="Q13" s="63">
        <v>4</v>
      </c>
      <c r="R13" s="64">
        <v>30</v>
      </c>
      <c r="S13" s="65">
        <f>R7*R13</f>
        <v>392.45782378229478</v>
      </c>
    </row>
    <row r="14" spans="1:19" ht="15.75">
      <c r="A14" s="80"/>
      <c r="B14" s="332"/>
      <c r="C14" s="332"/>
      <c r="D14" s="81"/>
      <c r="E14" s="81"/>
      <c r="F14" s="81"/>
      <c r="G14" s="81"/>
      <c r="H14" s="81"/>
      <c r="I14" s="79"/>
      <c r="J14" s="79"/>
      <c r="K14" s="79"/>
      <c r="N14" s="63">
        <v>3</v>
      </c>
      <c r="O14" s="64">
        <v>0</v>
      </c>
      <c r="P14" s="65">
        <f>R7*O14</f>
        <v>0</v>
      </c>
      <c r="Q14" s="63">
        <v>5</v>
      </c>
      <c r="R14" s="64">
        <v>12</v>
      </c>
      <c r="S14" s="65">
        <f>R14*R7</f>
        <v>156.98312951291791</v>
      </c>
    </row>
    <row r="15" spans="1:19" ht="15.75">
      <c r="A15" s="80"/>
      <c r="B15" s="297"/>
      <c r="C15" s="297"/>
      <c r="D15" s="81"/>
      <c r="E15" s="81"/>
      <c r="F15" s="81"/>
      <c r="G15" s="81"/>
      <c r="H15" s="81"/>
      <c r="I15" s="79"/>
      <c r="J15" s="79"/>
      <c r="K15" s="79"/>
      <c r="N15" s="63">
        <v>4</v>
      </c>
      <c r="O15" s="64">
        <v>0</v>
      </c>
      <c r="P15" s="65">
        <f>R7*O15</f>
        <v>0</v>
      </c>
      <c r="Q15" s="63">
        <v>1</v>
      </c>
      <c r="R15" s="64">
        <v>0</v>
      </c>
      <c r="S15" s="65">
        <f>R7*R15</f>
        <v>0</v>
      </c>
    </row>
    <row r="16" spans="1:19" ht="15.75">
      <c r="A16" s="80"/>
      <c r="B16" s="266"/>
      <c r="C16" s="266"/>
      <c r="D16" s="81"/>
      <c r="E16" s="81"/>
      <c r="F16" s="81"/>
      <c r="G16" s="81"/>
      <c r="H16" s="81"/>
      <c r="I16" s="79"/>
      <c r="J16" s="79"/>
      <c r="K16" s="79"/>
      <c r="N16" s="63">
        <v>5</v>
      </c>
      <c r="O16" s="64">
        <v>0</v>
      </c>
      <c r="P16" s="65">
        <f>R7*O16</f>
        <v>0</v>
      </c>
      <c r="Q16" s="63"/>
      <c r="R16" s="64">
        <v>0</v>
      </c>
      <c r="S16" s="65">
        <f>R7*R16</f>
        <v>0</v>
      </c>
    </row>
    <row r="17" spans="1:19" ht="15.75">
      <c r="A17" s="80"/>
      <c r="B17" s="269"/>
      <c r="C17" s="269"/>
      <c r="D17" s="81"/>
      <c r="E17" s="81"/>
      <c r="F17" s="81"/>
      <c r="G17" s="81"/>
      <c r="H17" s="81"/>
      <c r="I17" s="79"/>
      <c r="J17" s="79"/>
      <c r="K17" s="79"/>
      <c r="N17" s="63">
        <v>6</v>
      </c>
      <c r="O17" s="64">
        <v>0</v>
      </c>
      <c r="P17" s="65">
        <f>R7*O17</f>
        <v>0</v>
      </c>
      <c r="Q17" s="63"/>
      <c r="R17" s="64">
        <v>0</v>
      </c>
      <c r="S17" s="65">
        <f>R7*R17</f>
        <v>0</v>
      </c>
    </row>
    <row r="18" spans="1:19" ht="15" customHeight="1">
      <c r="A18" s="80"/>
      <c r="B18" s="270"/>
      <c r="C18" s="270"/>
      <c r="D18" s="81"/>
      <c r="E18" s="81"/>
      <c r="F18" s="81"/>
      <c r="G18" s="81"/>
      <c r="H18" s="81"/>
      <c r="I18" s="79"/>
      <c r="J18" s="79"/>
      <c r="K18" s="79"/>
      <c r="N18" s="63">
        <v>7</v>
      </c>
      <c r="O18" s="64">
        <v>0</v>
      </c>
      <c r="P18" s="65">
        <f>R7*O18</f>
        <v>0</v>
      </c>
      <c r="Q18" s="63"/>
      <c r="R18" s="64">
        <v>0</v>
      </c>
      <c r="S18" s="65">
        <f>R7*R18</f>
        <v>0</v>
      </c>
    </row>
    <row r="19" spans="1:19" ht="15" customHeight="1">
      <c r="A19" s="80"/>
      <c r="B19" s="276"/>
      <c r="C19" s="276"/>
      <c r="D19" s="81"/>
      <c r="E19" s="81"/>
      <c r="F19" s="81"/>
      <c r="G19" s="81"/>
      <c r="H19" s="81"/>
      <c r="I19" s="79"/>
      <c r="J19" s="79"/>
      <c r="K19" s="79"/>
      <c r="N19" s="63">
        <v>8</v>
      </c>
      <c r="O19" s="64">
        <v>0</v>
      </c>
      <c r="P19" s="65">
        <f>R7*O19</f>
        <v>0</v>
      </c>
      <c r="Q19" s="63"/>
      <c r="R19" s="64">
        <v>0</v>
      </c>
      <c r="S19" s="65">
        <f>R7*R19</f>
        <v>0</v>
      </c>
    </row>
    <row r="20" spans="1:19" ht="15" customHeight="1">
      <c r="A20" s="80"/>
      <c r="B20" s="128"/>
      <c r="C20" s="230"/>
      <c r="D20" s="81"/>
      <c r="E20" s="81"/>
      <c r="F20" s="81"/>
      <c r="G20" s="81"/>
      <c r="H20" s="81"/>
      <c r="I20" s="79"/>
      <c r="J20" s="79"/>
      <c r="K20" s="79"/>
      <c r="N20" s="63">
        <v>9</v>
      </c>
      <c r="O20" s="64">
        <v>0</v>
      </c>
      <c r="P20" s="65">
        <f>R7*O20</f>
        <v>0</v>
      </c>
      <c r="Q20" s="63"/>
      <c r="R20" s="64">
        <v>0</v>
      </c>
      <c r="S20" s="65">
        <f>R7*R20</f>
        <v>0</v>
      </c>
    </row>
    <row r="21" spans="1:19" ht="15" customHeight="1">
      <c r="A21" s="80"/>
      <c r="B21" s="158"/>
      <c r="C21" s="158"/>
      <c r="D21" s="81"/>
      <c r="E21" s="81"/>
      <c r="F21" s="81"/>
      <c r="G21" s="81"/>
      <c r="H21" s="81"/>
      <c r="I21" s="79"/>
      <c r="J21" s="79"/>
      <c r="K21" s="79"/>
      <c r="N21" s="68" t="s">
        <v>53</v>
      </c>
      <c r="O21" s="64">
        <v>0</v>
      </c>
      <c r="P21" s="65">
        <f>R7*O21</f>
        <v>0</v>
      </c>
      <c r="Q21" s="63"/>
      <c r="R21" s="64"/>
      <c r="S21" s="65">
        <f>R7*R21</f>
        <v>0</v>
      </c>
    </row>
    <row r="22" spans="1:19" ht="15" customHeight="1">
      <c r="A22" s="80"/>
      <c r="B22" s="146"/>
      <c r="C22" s="158"/>
      <c r="D22" s="81"/>
      <c r="E22" s="81"/>
      <c r="F22" s="81"/>
      <c r="G22" s="81"/>
      <c r="H22" s="81"/>
      <c r="I22" s="79"/>
      <c r="J22" s="79"/>
      <c r="K22" s="79"/>
      <c r="N22" s="59" t="s">
        <v>59</v>
      </c>
      <c r="O22" s="69">
        <f>P8-O12-O13-O14-O15-O16-O17-O18-O19-O20-O21</f>
        <v>94.912024895871639</v>
      </c>
      <c r="P22" s="69">
        <f>Q8-P12-P13-P14-P15-P16-P17-P18-P19-P20-P21</f>
        <v>1241.6322247134922</v>
      </c>
      <c r="Q22" s="59" t="s">
        <v>59</v>
      </c>
      <c r="R22" s="69">
        <f>P8-R12-R13-R14-R15-R16-R17-R18-R19-R20-R21</f>
        <v>22.912024895871639</v>
      </c>
      <c r="S22" s="69">
        <f>Q8-S12-S13-S14-S15-S16-S17-S18-S19-S20-S21</f>
        <v>299.7334476359847</v>
      </c>
    </row>
    <row r="23" spans="1:19" ht="15" customHeight="1">
      <c r="A23" s="80"/>
      <c r="B23" s="81"/>
      <c r="C23" s="148"/>
      <c r="D23" s="81"/>
      <c r="E23" s="81"/>
      <c r="F23" s="81"/>
      <c r="G23" s="81"/>
      <c r="H23" s="81"/>
      <c r="I23" s="79"/>
      <c r="J23" s="79"/>
      <c r="K23" s="79"/>
      <c r="N23" s="59" t="s">
        <v>60</v>
      </c>
      <c r="O23" s="62">
        <f>O12+O13+O14+O15+O16+O17+O18+O19+O20+O21</f>
        <v>0</v>
      </c>
      <c r="P23" s="62">
        <f>P12+P13+P14+P15+P16+P17+P18+P19+P20+P21</f>
        <v>0</v>
      </c>
      <c r="Q23" s="59" t="s">
        <v>60</v>
      </c>
      <c r="R23" s="62">
        <f>R12+R13+R14+R15+R16+R17+R18+R19+R20+R21</f>
        <v>72</v>
      </c>
      <c r="S23" s="62">
        <f>S12+S13+S14+S15+S16+S17+S18+S19+S20+S21</f>
        <v>941.89877707750748</v>
      </c>
    </row>
    <row r="24" spans="1:19" ht="15" customHeight="1">
      <c r="A24" s="80"/>
      <c r="B24" s="132"/>
      <c r="C24" s="132"/>
      <c r="D24" s="81"/>
      <c r="E24" s="81"/>
      <c r="F24" s="81"/>
      <c r="G24" s="81"/>
      <c r="H24" s="81"/>
      <c r="I24" s="79"/>
      <c r="J24" s="79"/>
      <c r="K24" s="79"/>
    </row>
    <row r="55" spans="14:19" ht="15" customHeight="1">
      <c r="N55" s="67"/>
      <c r="O55" s="67"/>
      <c r="P55" s="67"/>
      <c r="Q55" s="67"/>
      <c r="R55" s="67"/>
      <c r="S55" s="67"/>
    </row>
    <row r="56" spans="14:19" ht="15" customHeight="1">
      <c r="N56" s="72"/>
      <c r="O56" s="72"/>
      <c r="P56" s="72"/>
      <c r="Q56" s="72"/>
      <c r="R56" s="72"/>
      <c r="S56" s="72"/>
    </row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orientation="landscape"/>
</worksheet>
</file>

<file path=xl/worksheets/sheet83.xml><?xml version="1.0" encoding="utf-8"?>
<worksheet xmlns="http://schemas.openxmlformats.org/spreadsheetml/2006/main" xmlns:r="http://schemas.openxmlformats.org/officeDocument/2006/relationships">
  <sheetPr codeName="Лист62"/>
  <dimension ref="A1:S36"/>
  <sheetViews>
    <sheetView workbookViewId="0">
      <selection activeCell="I16" sqref="I16"/>
    </sheetView>
  </sheetViews>
  <sheetFormatPr defaultRowHeight="15"/>
  <cols>
    <col min="1" max="1" width="10.7109375" style="49" bestFit="1" customWidth="1"/>
    <col min="2" max="16384" width="9.140625" style="49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168</v>
      </c>
    </row>
    <row r="3" spans="1:19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9">
      <c r="A4" s="73" t="s">
        <v>66</v>
      </c>
      <c r="B4" s="73" t="s">
        <v>11</v>
      </c>
      <c r="C4" s="510">
        <f>AVERAGEA(I7:I30)</f>
        <v>0.5057578242000309</v>
      </c>
      <c r="D4" s="511"/>
      <c r="E4" s="510">
        <f>AVERAGEA(J7:J30)</f>
        <v>14.564036885642874</v>
      </c>
      <c r="F4" s="511"/>
      <c r="G4" s="510">
        <f>AVERAGEA(K7:K30)</f>
        <v>1.3525605621244066</v>
      </c>
      <c r="H4" s="511"/>
      <c r="I4" s="74">
        <f>C4*K2</f>
        <v>84.967314465605199</v>
      </c>
      <c r="J4" s="74">
        <f>I4*E4</f>
        <v>1237.4671019510915</v>
      </c>
      <c r="K4" s="74">
        <f>K2*G4</f>
        <v>227.23017443690031</v>
      </c>
    </row>
    <row r="5" spans="1:19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  <c r="N6" s="520"/>
      <c r="O6" s="520"/>
      <c r="P6" s="520"/>
      <c r="Q6" s="520"/>
      <c r="R6" s="520"/>
      <c r="S6" s="520"/>
    </row>
    <row r="7" spans="1:19" ht="15.75">
      <c r="A7" s="77">
        <v>46204</v>
      </c>
      <c r="B7" s="78" t="s">
        <v>145</v>
      </c>
      <c r="C7" s="78" t="s">
        <v>65</v>
      </c>
      <c r="D7" s="78">
        <v>72</v>
      </c>
      <c r="E7" s="78">
        <v>12</v>
      </c>
      <c r="F7" s="78">
        <v>46</v>
      </c>
      <c r="G7" s="78">
        <v>697</v>
      </c>
      <c r="H7" s="78">
        <v>141</v>
      </c>
      <c r="I7" s="79">
        <f t="shared" ref="I7:I16" si="0">F7/(D7+E7)</f>
        <v>0.54761904761904767</v>
      </c>
      <c r="J7" s="79">
        <f t="shared" ref="J7:J16" si="1">G7/F7</f>
        <v>15.152173913043478</v>
      </c>
      <c r="K7" s="79">
        <f t="shared" ref="K7:K16" si="2">H7/(D7+E7)</f>
        <v>1.6785714285714286</v>
      </c>
      <c r="N7" s="59" t="s">
        <v>49</v>
      </c>
      <c r="O7" s="60">
        <f>K2</f>
        <v>168</v>
      </c>
      <c r="P7" s="61">
        <f>I4</f>
        <v>84.967314465605199</v>
      </c>
      <c r="Q7" s="61">
        <f>J4</f>
        <v>1237.4671019510915</v>
      </c>
      <c r="R7" s="539">
        <f>Q7/P7</f>
        <v>14.564036885642874</v>
      </c>
      <c r="S7" s="539">
        <f>P7/O7</f>
        <v>0.5057578242000309</v>
      </c>
    </row>
    <row r="8" spans="1:19" ht="15.75">
      <c r="A8" s="80">
        <v>46206</v>
      </c>
      <c r="B8" s="419" t="s">
        <v>142</v>
      </c>
      <c r="C8" s="419" t="s">
        <v>65</v>
      </c>
      <c r="D8" s="81">
        <v>88</v>
      </c>
      <c r="E8" s="81">
        <v>17</v>
      </c>
      <c r="F8" s="81">
        <v>48</v>
      </c>
      <c r="G8" s="81">
        <v>729</v>
      </c>
      <c r="H8" s="81">
        <v>200</v>
      </c>
      <c r="I8" s="79">
        <f t="shared" si="0"/>
        <v>0.45714285714285713</v>
      </c>
      <c r="J8" s="79">
        <f t="shared" si="1"/>
        <v>15.1875</v>
      </c>
      <c r="K8" s="79">
        <f t="shared" si="2"/>
        <v>1.9047619047619047</v>
      </c>
      <c r="N8" s="59" t="s">
        <v>50</v>
      </c>
      <c r="O8" s="60">
        <f>O7</f>
        <v>168</v>
      </c>
      <c r="P8" s="62">
        <f>O8*S7</f>
        <v>84.967314465605199</v>
      </c>
      <c r="Q8" s="62">
        <f>P8*R7</f>
        <v>1237.4671019510915</v>
      </c>
      <c r="R8" s="520"/>
      <c r="S8" s="520"/>
    </row>
    <row r="9" spans="1:19">
      <c r="A9" s="80">
        <v>46208</v>
      </c>
      <c r="B9" s="425" t="s">
        <v>145</v>
      </c>
      <c r="C9" s="425" t="s">
        <v>73</v>
      </c>
      <c r="D9" s="81">
        <v>170</v>
      </c>
      <c r="E9" s="81">
        <v>32</v>
      </c>
      <c r="F9" s="81">
        <v>108</v>
      </c>
      <c r="G9" s="81">
        <v>1581</v>
      </c>
      <c r="H9" s="81">
        <v>287</v>
      </c>
      <c r="I9" s="79">
        <f t="shared" si="0"/>
        <v>0.53465346534653468</v>
      </c>
      <c r="J9" s="79">
        <f t="shared" si="1"/>
        <v>14.638888888888889</v>
      </c>
      <c r="K9" s="79">
        <f t="shared" si="2"/>
        <v>1.4207920792079207</v>
      </c>
      <c r="N9" s="521" t="s">
        <v>51</v>
      </c>
      <c r="O9" s="516"/>
      <c r="P9" s="516"/>
      <c r="Q9" s="516"/>
      <c r="R9" s="516"/>
      <c r="S9" s="511"/>
    </row>
    <row r="10" spans="1:19">
      <c r="A10" s="80">
        <v>46210</v>
      </c>
      <c r="B10" s="426" t="s">
        <v>145</v>
      </c>
      <c r="C10" s="426" t="s">
        <v>65</v>
      </c>
      <c r="D10" s="81">
        <v>73</v>
      </c>
      <c r="E10" s="81">
        <v>15</v>
      </c>
      <c r="F10" s="81">
        <v>42</v>
      </c>
      <c r="G10" s="81">
        <v>606</v>
      </c>
      <c r="H10" s="81">
        <v>69</v>
      </c>
      <c r="I10" s="79">
        <f t="shared" si="0"/>
        <v>0.47727272727272729</v>
      </c>
      <c r="J10" s="79">
        <f t="shared" si="1"/>
        <v>14.428571428571429</v>
      </c>
      <c r="K10" s="79">
        <f t="shared" si="2"/>
        <v>0.78409090909090906</v>
      </c>
      <c r="N10" s="521" t="s">
        <v>52</v>
      </c>
      <c r="O10" s="516"/>
      <c r="P10" s="511"/>
      <c r="Q10" s="521" t="s">
        <v>53</v>
      </c>
      <c r="R10" s="516"/>
      <c r="S10" s="511"/>
    </row>
    <row r="11" spans="1:19">
      <c r="A11" s="80">
        <v>46212</v>
      </c>
      <c r="B11" s="433" t="s">
        <v>159</v>
      </c>
      <c r="C11" s="433" t="s">
        <v>73</v>
      </c>
      <c r="D11" s="81">
        <v>165</v>
      </c>
      <c r="E11" s="81">
        <v>36</v>
      </c>
      <c r="F11" s="81">
        <v>95</v>
      </c>
      <c r="G11" s="81">
        <v>1431</v>
      </c>
      <c r="H11" s="81">
        <v>154</v>
      </c>
      <c r="I11" s="79">
        <f t="shared" si="0"/>
        <v>0.47263681592039802</v>
      </c>
      <c r="J11" s="79">
        <f t="shared" si="1"/>
        <v>15.063157894736841</v>
      </c>
      <c r="K11" s="79">
        <f t="shared" si="2"/>
        <v>0.76616915422885568</v>
      </c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.75">
      <c r="A12" s="80">
        <v>46213</v>
      </c>
      <c r="B12" s="373">
        <v>433</v>
      </c>
      <c r="C12" s="433" t="s">
        <v>62</v>
      </c>
      <c r="D12" s="118">
        <v>107</v>
      </c>
      <c r="E12" s="81">
        <v>39</v>
      </c>
      <c r="F12" s="81">
        <v>69</v>
      </c>
      <c r="G12" s="81">
        <v>970</v>
      </c>
      <c r="H12" s="81">
        <v>141</v>
      </c>
      <c r="I12" s="79">
        <f t="shared" si="0"/>
        <v>0.4726027397260274</v>
      </c>
      <c r="J12" s="79">
        <f t="shared" si="1"/>
        <v>14.057971014492754</v>
      </c>
      <c r="K12" s="79">
        <f t="shared" si="2"/>
        <v>0.96575342465753422</v>
      </c>
      <c r="N12" s="63">
        <v>1</v>
      </c>
      <c r="O12" s="64">
        <v>0</v>
      </c>
      <c r="P12" s="65">
        <f>O12*R7</f>
        <v>0</v>
      </c>
      <c r="Q12" s="63">
        <v>3</v>
      </c>
      <c r="R12" s="64">
        <v>40</v>
      </c>
      <c r="S12" s="65">
        <f>R12*R7</f>
        <v>582.561475425715</v>
      </c>
    </row>
    <row r="13" spans="1:19" ht="15.75">
      <c r="A13" s="80">
        <v>46215</v>
      </c>
      <c r="B13" s="435" t="s">
        <v>145</v>
      </c>
      <c r="C13" s="435" t="s">
        <v>73</v>
      </c>
      <c r="D13" s="81">
        <v>177</v>
      </c>
      <c r="E13" s="81">
        <v>32</v>
      </c>
      <c r="F13" s="81">
        <v>122</v>
      </c>
      <c r="G13" s="81">
        <v>1723</v>
      </c>
      <c r="H13" s="81">
        <v>301</v>
      </c>
      <c r="I13" s="79">
        <f t="shared" si="0"/>
        <v>0.58373205741626799</v>
      </c>
      <c r="J13" s="79">
        <f t="shared" si="1"/>
        <v>14.122950819672131</v>
      </c>
      <c r="K13" s="79">
        <f t="shared" si="2"/>
        <v>1.4401913875598087</v>
      </c>
      <c r="N13" s="63">
        <v>2</v>
      </c>
      <c r="O13" s="64">
        <v>0</v>
      </c>
      <c r="P13" s="65">
        <f>O13*R7</f>
        <v>0</v>
      </c>
      <c r="Q13" s="63">
        <v>4</v>
      </c>
      <c r="R13" s="64">
        <v>49</v>
      </c>
      <c r="S13" s="65">
        <f>R7*R13</f>
        <v>713.63780739650088</v>
      </c>
    </row>
    <row r="14" spans="1:19" ht="15.75">
      <c r="A14" s="80">
        <v>46217</v>
      </c>
      <c r="B14" s="440" t="s">
        <v>145</v>
      </c>
      <c r="C14" s="440" t="s">
        <v>73</v>
      </c>
      <c r="D14" s="81">
        <v>83</v>
      </c>
      <c r="E14" s="81">
        <v>14</v>
      </c>
      <c r="F14" s="81">
        <v>47</v>
      </c>
      <c r="G14" s="81">
        <v>684</v>
      </c>
      <c r="H14" s="81">
        <v>65</v>
      </c>
      <c r="I14" s="79">
        <f t="shared" si="0"/>
        <v>0.4845360824742268</v>
      </c>
      <c r="J14" s="79">
        <f t="shared" si="1"/>
        <v>14.553191489361701</v>
      </c>
      <c r="K14" s="79">
        <f t="shared" si="2"/>
        <v>0.67010309278350511</v>
      </c>
      <c r="N14" s="63">
        <v>3</v>
      </c>
      <c r="O14" s="64">
        <v>0</v>
      </c>
      <c r="P14" s="65">
        <f>R7*O14</f>
        <v>0</v>
      </c>
      <c r="Q14" s="63">
        <v>5</v>
      </c>
      <c r="R14" s="64">
        <v>0</v>
      </c>
      <c r="S14" s="65">
        <f>R14*R7</f>
        <v>0</v>
      </c>
    </row>
    <row r="15" spans="1:19" ht="15.75">
      <c r="A15" s="224">
        <v>46217</v>
      </c>
      <c r="B15" s="440" t="s">
        <v>142</v>
      </c>
      <c r="C15" s="440" t="s">
        <v>73</v>
      </c>
      <c r="D15" s="81">
        <v>167</v>
      </c>
      <c r="E15" s="81">
        <v>38</v>
      </c>
      <c r="F15" s="81">
        <v>106</v>
      </c>
      <c r="G15" s="81">
        <v>1527</v>
      </c>
      <c r="H15" s="81">
        <v>174</v>
      </c>
      <c r="I15" s="79">
        <f t="shared" si="0"/>
        <v>0.51707317073170733</v>
      </c>
      <c r="J15" s="79">
        <f t="shared" si="1"/>
        <v>14.40566037735849</v>
      </c>
      <c r="K15" s="79">
        <f t="shared" si="2"/>
        <v>0.84878048780487803</v>
      </c>
      <c r="N15" s="63">
        <v>4</v>
      </c>
      <c r="O15" s="64">
        <v>0</v>
      </c>
      <c r="P15" s="65">
        <f>R7*O15</f>
        <v>0</v>
      </c>
      <c r="Q15" s="63">
        <v>1</v>
      </c>
      <c r="R15" s="64">
        <v>0</v>
      </c>
      <c r="S15" s="65">
        <f>R7*R15</f>
        <v>0</v>
      </c>
    </row>
    <row r="16" spans="1:19" ht="15.75">
      <c r="A16" s="80">
        <v>46220</v>
      </c>
      <c r="B16" s="447" t="s">
        <v>142</v>
      </c>
      <c r="C16" s="447" t="s">
        <v>73</v>
      </c>
      <c r="D16" s="81">
        <v>157</v>
      </c>
      <c r="E16" s="81">
        <v>37</v>
      </c>
      <c r="F16" s="81">
        <v>99</v>
      </c>
      <c r="G16" s="81">
        <v>1389</v>
      </c>
      <c r="H16" s="81">
        <v>591</v>
      </c>
      <c r="I16" s="79">
        <f t="shared" si="0"/>
        <v>0.51030927835051543</v>
      </c>
      <c r="J16" s="79">
        <f t="shared" si="1"/>
        <v>14.030303030303031</v>
      </c>
      <c r="K16" s="79">
        <f t="shared" si="2"/>
        <v>3.0463917525773194</v>
      </c>
      <c r="N16" s="63">
        <v>5</v>
      </c>
      <c r="O16" s="64">
        <v>0</v>
      </c>
      <c r="P16" s="65">
        <f>R7*O16</f>
        <v>0</v>
      </c>
      <c r="Q16" s="63"/>
      <c r="R16" s="64">
        <v>0</v>
      </c>
      <c r="S16" s="65">
        <f>R7*R16</f>
        <v>0</v>
      </c>
    </row>
    <row r="17" spans="1:19" ht="15.75">
      <c r="A17" s="80"/>
      <c r="B17" s="404"/>
      <c r="C17" s="404"/>
      <c r="D17" s="81"/>
      <c r="E17" s="81"/>
      <c r="F17" s="81"/>
      <c r="G17" s="81"/>
      <c r="H17" s="81"/>
      <c r="I17" s="79"/>
      <c r="J17" s="79"/>
      <c r="K17" s="79"/>
      <c r="N17" s="63"/>
      <c r="O17" s="64"/>
      <c r="P17" s="65"/>
      <c r="Q17" s="63"/>
      <c r="R17" s="64"/>
      <c r="S17" s="65"/>
    </row>
    <row r="18" spans="1:19" ht="15.75">
      <c r="A18" s="80"/>
      <c r="B18" s="404"/>
      <c r="C18" s="404"/>
      <c r="D18" s="81"/>
      <c r="E18" s="81"/>
      <c r="F18" s="81"/>
      <c r="G18" s="81"/>
      <c r="H18" s="81"/>
      <c r="I18" s="79"/>
      <c r="J18" s="79"/>
      <c r="K18" s="79"/>
      <c r="N18" s="63">
        <v>6</v>
      </c>
      <c r="O18" s="64">
        <v>0</v>
      </c>
      <c r="P18" s="65">
        <f>R7*O18</f>
        <v>0</v>
      </c>
      <c r="Q18" s="63"/>
      <c r="R18" s="64">
        <v>0</v>
      </c>
      <c r="S18" s="65">
        <f>R7*R18</f>
        <v>0</v>
      </c>
    </row>
    <row r="19" spans="1:19" ht="15.75">
      <c r="A19" s="80"/>
      <c r="B19" s="407"/>
      <c r="C19" s="407"/>
      <c r="D19" s="81"/>
      <c r="E19" s="81"/>
      <c r="F19" s="81"/>
      <c r="G19" s="81"/>
      <c r="H19" s="81"/>
      <c r="I19" s="79"/>
      <c r="J19" s="79"/>
      <c r="K19" s="79"/>
      <c r="N19" s="63">
        <v>7</v>
      </c>
      <c r="O19" s="64">
        <v>0</v>
      </c>
      <c r="P19" s="65">
        <f>R7*O19</f>
        <v>0</v>
      </c>
      <c r="Q19" s="63"/>
      <c r="R19" s="64">
        <v>0</v>
      </c>
      <c r="S19" s="65">
        <f>R7*R19</f>
        <v>0</v>
      </c>
    </row>
    <row r="20" spans="1:19" ht="15.75">
      <c r="A20" s="80"/>
      <c r="B20" s="407"/>
      <c r="C20" s="407"/>
      <c r="D20" s="81"/>
      <c r="E20" s="81"/>
      <c r="F20" s="81"/>
      <c r="G20" s="81"/>
      <c r="H20" s="81"/>
      <c r="I20" s="79"/>
      <c r="J20" s="79"/>
      <c r="K20" s="79"/>
      <c r="N20" s="63">
        <v>8</v>
      </c>
      <c r="O20" s="64">
        <v>0</v>
      </c>
      <c r="P20" s="65">
        <f>R7*O20</f>
        <v>0</v>
      </c>
      <c r="Q20" s="63"/>
      <c r="R20" s="64">
        <v>0</v>
      </c>
      <c r="S20" s="65">
        <f>R7*R20</f>
        <v>0</v>
      </c>
    </row>
    <row r="21" spans="1:19" ht="15.75">
      <c r="A21" s="80"/>
      <c r="B21" s="385"/>
      <c r="C21" s="407"/>
      <c r="D21" s="81"/>
      <c r="E21" s="81"/>
      <c r="F21" s="81"/>
      <c r="G21" s="81"/>
      <c r="H21" s="81"/>
      <c r="I21" s="79"/>
      <c r="J21" s="79"/>
      <c r="K21" s="79"/>
      <c r="N21" s="63">
        <v>9</v>
      </c>
      <c r="O21" s="64">
        <v>0</v>
      </c>
      <c r="P21" s="65">
        <f>R7*O21</f>
        <v>0</v>
      </c>
      <c r="Q21" s="63"/>
      <c r="R21" s="64">
        <v>0</v>
      </c>
      <c r="S21" s="65">
        <f>R7*R21</f>
        <v>0</v>
      </c>
    </row>
    <row r="22" spans="1:19" ht="15.75">
      <c r="A22" s="80"/>
      <c r="B22" s="385"/>
      <c r="C22" s="409"/>
      <c r="D22" s="81"/>
      <c r="E22" s="81"/>
      <c r="F22" s="81"/>
      <c r="G22" s="81"/>
      <c r="H22" s="81"/>
      <c r="I22" s="79"/>
      <c r="J22" s="79"/>
      <c r="K22" s="79"/>
      <c r="N22" s="68" t="s">
        <v>53</v>
      </c>
      <c r="O22" s="64">
        <v>0</v>
      </c>
      <c r="P22" s="65">
        <f>R7*O22</f>
        <v>0</v>
      </c>
      <c r="Q22" s="63"/>
      <c r="R22" s="64"/>
      <c r="S22" s="65">
        <f>R7*R22</f>
        <v>0</v>
      </c>
    </row>
    <row r="23" spans="1:19" ht="15.75">
      <c r="A23" s="80"/>
      <c r="B23" s="418"/>
      <c r="C23" s="418"/>
      <c r="D23" s="81"/>
      <c r="E23" s="81"/>
      <c r="F23" s="81"/>
      <c r="G23" s="81"/>
      <c r="H23" s="81"/>
      <c r="I23" s="79"/>
      <c r="J23" s="79"/>
      <c r="K23" s="79"/>
      <c r="N23" s="59" t="s">
        <v>59</v>
      </c>
      <c r="O23" s="69">
        <f>P8-O12-O13-O14-O15-O16-O18-O19-O20-O21-O22</f>
        <v>84.967314465605199</v>
      </c>
      <c r="P23" s="69">
        <f>Q8-P12-P13-P14-P15-P16-P18-P19-P20-P21-P22</f>
        <v>1237.4671019510915</v>
      </c>
      <c r="Q23" s="59" t="s">
        <v>59</v>
      </c>
      <c r="R23" s="69">
        <f>P8-R12-R13-R14-R15-R16-R18-R19-R20-R21-R22</f>
        <v>-4.0326855343948012</v>
      </c>
      <c r="S23" s="69">
        <f>Q8-S12-S13-S14-S15-S16-S18-S19-S20-S21-S22</f>
        <v>-58.732180871124342</v>
      </c>
    </row>
    <row r="24" spans="1:19">
      <c r="A24" s="80"/>
      <c r="B24" s="390"/>
      <c r="C24" s="390"/>
      <c r="D24" s="81"/>
      <c r="E24" s="81"/>
      <c r="F24" s="81"/>
      <c r="G24" s="81"/>
      <c r="H24" s="81"/>
      <c r="I24" s="79"/>
      <c r="J24" s="79"/>
      <c r="K24" s="79"/>
      <c r="N24" s="59" t="s">
        <v>60</v>
      </c>
      <c r="O24" s="62">
        <f>O12+O13+O14+O15+O16+O18+O19+O20+O21+O22</f>
        <v>0</v>
      </c>
      <c r="P24" s="62">
        <f>P12+P13+P14+P15+P16+P18+P19+P20+P21+P22</f>
        <v>0</v>
      </c>
      <c r="Q24" s="59" t="s">
        <v>60</v>
      </c>
      <c r="R24" s="62">
        <f>R12+R13+R14+R15+R16+R18+R19+R20+R21+R22</f>
        <v>89</v>
      </c>
      <c r="S24" s="62">
        <f>S12+S13+S14+S15+S16+S18+S19+S20+S21+S22</f>
        <v>1296.199282822216</v>
      </c>
    </row>
    <row r="25" spans="1:19">
      <c r="A25" s="80"/>
      <c r="B25" s="271"/>
      <c r="C25" s="392"/>
      <c r="D25" s="81"/>
      <c r="E25" s="81"/>
      <c r="F25" s="81"/>
      <c r="G25" s="81"/>
      <c r="H25" s="81"/>
      <c r="I25" s="79"/>
      <c r="J25" s="79"/>
      <c r="K25" s="79"/>
    </row>
    <row r="26" spans="1:19">
      <c r="A26" s="80"/>
      <c r="B26" s="274"/>
      <c r="C26" s="274"/>
      <c r="D26" s="81"/>
      <c r="E26" s="81"/>
      <c r="F26" s="81"/>
      <c r="G26" s="81"/>
      <c r="H26" s="81"/>
      <c r="I26" s="79"/>
      <c r="J26" s="79"/>
      <c r="K26" s="79"/>
    </row>
    <row r="27" spans="1:19">
      <c r="A27" s="80"/>
      <c r="B27" s="221"/>
      <c r="C27" s="252"/>
      <c r="D27" s="81"/>
      <c r="E27" s="81"/>
      <c r="F27" s="81"/>
      <c r="G27" s="81"/>
      <c r="H27" s="81"/>
      <c r="I27" s="79"/>
      <c r="J27" s="79"/>
      <c r="K27" s="79"/>
    </row>
    <row r="28" spans="1:19">
      <c r="A28" s="80"/>
      <c r="B28" s="235"/>
      <c r="C28" s="253"/>
      <c r="D28" s="81"/>
      <c r="E28" s="81"/>
      <c r="F28" s="81"/>
      <c r="G28" s="81"/>
      <c r="H28" s="81"/>
      <c r="I28" s="79"/>
      <c r="J28" s="79"/>
      <c r="K28" s="79"/>
    </row>
    <row r="29" spans="1:19">
      <c r="A29" s="80"/>
      <c r="B29" s="253"/>
      <c r="C29" s="253"/>
      <c r="D29" s="81"/>
      <c r="E29" s="81"/>
      <c r="F29" s="81"/>
      <c r="G29" s="81"/>
      <c r="H29" s="81"/>
      <c r="I29" s="79"/>
      <c r="J29" s="79"/>
      <c r="K29" s="79"/>
    </row>
    <row r="30" spans="1:19">
      <c r="A30" s="80"/>
      <c r="B30" s="222"/>
      <c r="C30" s="254"/>
      <c r="D30" s="81"/>
      <c r="E30" s="81"/>
      <c r="F30" s="81"/>
      <c r="G30" s="81"/>
      <c r="H30" s="81"/>
      <c r="I30" s="79"/>
      <c r="J30" s="79"/>
      <c r="K30" s="79"/>
    </row>
    <row r="31" spans="1:19">
      <c r="A31" s="80"/>
      <c r="B31" s="254"/>
      <c r="C31" s="254"/>
      <c r="D31" s="81"/>
      <c r="E31" s="81"/>
      <c r="F31" s="81"/>
      <c r="G31" s="81"/>
      <c r="H31" s="81"/>
      <c r="I31" s="79"/>
      <c r="J31" s="79"/>
      <c r="K31" s="79"/>
    </row>
    <row r="32" spans="1:19">
      <c r="A32" s="80"/>
      <c r="B32" s="241"/>
      <c r="C32" s="241"/>
      <c r="D32" s="81"/>
      <c r="E32" s="81"/>
      <c r="F32" s="81"/>
      <c r="G32" s="81"/>
      <c r="H32" s="81"/>
      <c r="I32" s="79"/>
      <c r="J32" s="79"/>
      <c r="K32" s="79"/>
    </row>
    <row r="33" spans="1:11">
      <c r="A33" s="80"/>
      <c r="B33" s="81"/>
      <c r="C33" s="245"/>
      <c r="D33" s="81"/>
      <c r="E33" s="81"/>
      <c r="F33" s="81"/>
      <c r="G33" s="81"/>
      <c r="H33" s="81"/>
      <c r="I33" s="79"/>
      <c r="J33" s="79"/>
      <c r="K33" s="79"/>
    </row>
    <row r="34" spans="1:11">
      <c r="A34" s="81"/>
      <c r="B34" s="81"/>
      <c r="C34" s="81"/>
      <c r="D34" s="81"/>
      <c r="E34" s="81"/>
      <c r="F34" s="81"/>
      <c r="G34" s="81"/>
      <c r="H34" s="81"/>
      <c r="I34" s="79"/>
      <c r="J34" s="79"/>
      <c r="K34" s="79"/>
    </row>
    <row r="35" spans="1:11">
      <c r="A35" s="81"/>
      <c r="B35" s="81"/>
      <c r="C35" s="81"/>
      <c r="D35" s="81"/>
      <c r="E35" s="81"/>
      <c r="F35" s="81"/>
      <c r="G35" s="81"/>
      <c r="H35" s="81"/>
      <c r="I35" s="79"/>
      <c r="J35" s="79"/>
      <c r="K35" s="79"/>
    </row>
    <row r="36" spans="1:11">
      <c r="A36" s="81"/>
      <c r="B36" s="81"/>
      <c r="C36" s="81"/>
      <c r="D36" s="81"/>
      <c r="E36" s="81"/>
      <c r="F36" s="81"/>
      <c r="G36" s="81"/>
      <c r="H36" s="81"/>
      <c r="I36" s="79"/>
      <c r="J36" s="79"/>
      <c r="K36" s="79"/>
    </row>
  </sheetData>
  <sheetProtection password="CC6F" sheet="1" objects="1" scenarios="1"/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disablePrompts="1"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sheetPr codeName="Лист53"/>
  <dimension ref="A1:W1000"/>
  <sheetViews>
    <sheetView workbookViewId="0">
      <selection activeCell="K10" sqref="K10"/>
    </sheetView>
  </sheetViews>
  <sheetFormatPr defaultColWidth="14.42578125" defaultRowHeight="15" customHeight="1"/>
  <cols>
    <col min="1" max="1" width="10.140625" style="49" customWidth="1"/>
    <col min="2" max="8" width="8.7109375" style="49" customWidth="1"/>
    <col min="9" max="9" width="14" style="49" customWidth="1"/>
    <col min="10" max="10" width="15.5703125" style="49" customWidth="1"/>
    <col min="11" max="11" width="12.85546875" style="49" customWidth="1"/>
    <col min="12" max="12" width="8.7109375" style="49" customWidth="1"/>
    <col min="13" max="13" width="14.42578125" style="49" customWidth="1"/>
    <col min="14" max="14" width="12" style="49" customWidth="1"/>
    <col min="15" max="15" width="11.5703125" style="49" customWidth="1"/>
    <col min="16" max="16" width="13.5703125" style="49" customWidth="1"/>
    <col min="17" max="17" width="12" style="49" customWidth="1"/>
    <col min="18" max="18" width="10.42578125" style="49" customWidth="1"/>
    <col min="19" max="19" width="12.7109375" style="49" customWidth="1"/>
    <col min="20" max="23" width="8.7109375" style="49" customWidth="1"/>
    <col min="24" max="16384" width="14.42578125" style="49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189</v>
      </c>
    </row>
    <row r="3" spans="1:19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/>
    </row>
    <row r="4" spans="1:19">
      <c r="A4" s="73" t="s">
        <v>66</v>
      </c>
      <c r="B4" s="73" t="s">
        <v>12</v>
      </c>
      <c r="C4" s="540">
        <f>AVERAGEA(I7:I44)</f>
        <v>0.50549450549450547</v>
      </c>
      <c r="D4" s="541"/>
      <c r="E4" s="540">
        <f>AVERAGEA(J7:J44)</f>
        <v>14.108823529411765</v>
      </c>
      <c r="F4" s="541"/>
      <c r="G4" s="540">
        <f>AVERAGEA(K7:K44)</f>
        <v>1.0402930402930404</v>
      </c>
      <c r="H4" s="541"/>
      <c r="I4" s="74">
        <f>K2*C4</f>
        <v>95.538461538461533</v>
      </c>
      <c r="J4" s="74">
        <f>I4*E4</f>
        <v>1347.9352941176471</v>
      </c>
      <c r="K4" s="74">
        <f>K2*G4</f>
        <v>196.61538461538464</v>
      </c>
    </row>
    <row r="5" spans="1:19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  <c r="N6" s="520"/>
      <c r="O6" s="520"/>
      <c r="P6" s="520"/>
      <c r="Q6" s="520"/>
      <c r="R6" s="520"/>
      <c r="S6" s="520"/>
    </row>
    <row r="7" spans="1:19" ht="15.75">
      <c r="A7" s="77">
        <v>46177</v>
      </c>
      <c r="B7" s="78" t="s">
        <v>141</v>
      </c>
      <c r="C7" s="78" t="s">
        <v>65</v>
      </c>
      <c r="D7" s="78">
        <v>25</v>
      </c>
      <c r="E7" s="78">
        <v>1</v>
      </c>
      <c r="F7" s="78">
        <v>17</v>
      </c>
      <c r="G7" s="78">
        <v>240</v>
      </c>
      <c r="H7" s="78">
        <v>25</v>
      </c>
      <c r="I7" s="79">
        <f>F7/(D7+E7)</f>
        <v>0.65384615384615385</v>
      </c>
      <c r="J7" s="79">
        <f>G7/F7</f>
        <v>14.117647058823529</v>
      </c>
      <c r="K7" s="79">
        <f>H7/(D7+E7)</f>
        <v>0.96153846153846156</v>
      </c>
      <c r="N7" s="59" t="s">
        <v>49</v>
      </c>
      <c r="O7" s="60">
        <f>K2</f>
        <v>189</v>
      </c>
      <c r="P7" s="61">
        <f>I4</f>
        <v>95.538461538461533</v>
      </c>
      <c r="Q7" s="61">
        <f>J4</f>
        <v>1347.9352941176471</v>
      </c>
      <c r="R7" s="539">
        <f>Q7/P7</f>
        <v>14.108823529411767</v>
      </c>
      <c r="S7" s="539">
        <f>P7/O7</f>
        <v>0.50549450549450547</v>
      </c>
    </row>
    <row r="8" spans="1:19" ht="15.75">
      <c r="A8" s="85">
        <v>46182</v>
      </c>
      <c r="B8" s="86">
        <v>6501</v>
      </c>
      <c r="C8" s="86" t="s">
        <v>122</v>
      </c>
      <c r="D8" s="86">
        <v>80</v>
      </c>
      <c r="E8" s="86">
        <v>4</v>
      </c>
      <c r="F8" s="86">
        <v>30</v>
      </c>
      <c r="G8" s="86">
        <v>423</v>
      </c>
      <c r="H8" s="86">
        <v>94</v>
      </c>
      <c r="I8" s="79">
        <f>F8/(D8+E8)</f>
        <v>0.35714285714285715</v>
      </c>
      <c r="J8" s="79">
        <f>G8/F8</f>
        <v>14.1</v>
      </c>
      <c r="K8" s="79">
        <f>H8/(D8+E8)</f>
        <v>1.1190476190476191</v>
      </c>
      <c r="N8" s="59" t="s">
        <v>50</v>
      </c>
      <c r="O8" s="60">
        <f>O7</f>
        <v>189</v>
      </c>
      <c r="P8" s="62">
        <f>O8*S7</f>
        <v>95.538461538461533</v>
      </c>
      <c r="Q8" s="62">
        <f>P8*R7</f>
        <v>1347.9352941176471</v>
      </c>
      <c r="R8" s="520"/>
      <c r="S8" s="520"/>
    </row>
    <row r="9" spans="1:19">
      <c r="A9" s="85"/>
      <c r="B9" s="86"/>
      <c r="C9" s="86"/>
      <c r="D9" s="86"/>
      <c r="E9" s="86"/>
      <c r="F9" s="86"/>
      <c r="G9" s="86"/>
      <c r="H9" s="86"/>
      <c r="I9" s="79"/>
      <c r="J9" s="79"/>
      <c r="K9" s="79"/>
      <c r="N9" s="521" t="s">
        <v>51</v>
      </c>
      <c r="O9" s="516"/>
      <c r="P9" s="516"/>
      <c r="Q9" s="516"/>
      <c r="R9" s="516"/>
      <c r="S9" s="511"/>
    </row>
    <row r="10" spans="1:19">
      <c r="A10" s="85"/>
      <c r="B10" s="86"/>
      <c r="C10" s="86"/>
      <c r="D10" s="86"/>
      <c r="E10" s="86"/>
      <c r="F10" s="86"/>
      <c r="G10" s="86"/>
      <c r="H10" s="86"/>
      <c r="I10" s="79"/>
      <c r="J10" s="79"/>
      <c r="K10" s="79"/>
      <c r="N10" s="521" t="s">
        <v>52</v>
      </c>
      <c r="O10" s="516"/>
      <c r="P10" s="511"/>
      <c r="Q10" s="521" t="s">
        <v>53</v>
      </c>
      <c r="R10" s="516"/>
      <c r="S10" s="511"/>
    </row>
    <row r="11" spans="1:19">
      <c r="A11" s="85"/>
      <c r="B11" s="86"/>
      <c r="C11" s="86"/>
      <c r="D11" s="86"/>
      <c r="E11" s="86"/>
      <c r="F11" s="86"/>
      <c r="G11" s="86"/>
      <c r="H11" s="86"/>
      <c r="I11" s="79"/>
      <c r="J11" s="79"/>
      <c r="K11" s="79"/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.75">
      <c r="A12" s="85"/>
      <c r="B12" s="86"/>
      <c r="C12" s="86"/>
      <c r="D12" s="86"/>
      <c r="E12" s="86"/>
      <c r="F12" s="86"/>
      <c r="G12" s="86"/>
      <c r="H12" s="86"/>
      <c r="I12" s="79"/>
      <c r="J12" s="79"/>
      <c r="K12" s="79"/>
      <c r="N12" s="63">
        <v>1</v>
      </c>
      <c r="O12" s="64">
        <v>43</v>
      </c>
      <c r="P12" s="65">
        <f>O12*R7</f>
        <v>606.67941176470595</v>
      </c>
      <c r="Q12" s="63">
        <v>50</v>
      </c>
      <c r="R12" s="64">
        <v>50</v>
      </c>
      <c r="S12" s="65">
        <f>R12*R7</f>
        <v>705.4411764705884</v>
      </c>
    </row>
    <row r="13" spans="1:19" ht="15.75">
      <c r="A13" s="85"/>
      <c r="B13" s="86"/>
      <c r="C13" s="86"/>
      <c r="D13" s="86"/>
      <c r="E13" s="86"/>
      <c r="F13" s="86"/>
      <c r="G13" s="86"/>
      <c r="H13" s="86"/>
      <c r="I13" s="79"/>
      <c r="J13" s="79"/>
      <c r="K13" s="79"/>
      <c r="N13" s="63">
        <v>2</v>
      </c>
      <c r="O13" s="64">
        <v>43</v>
      </c>
      <c r="P13" s="65">
        <f>O13*R7</f>
        <v>606.67941176470595</v>
      </c>
      <c r="Q13" s="63">
        <v>4</v>
      </c>
      <c r="R13" s="64">
        <v>44</v>
      </c>
      <c r="S13" s="65">
        <f>R7*R13</f>
        <v>620.78823529411773</v>
      </c>
    </row>
    <row r="14" spans="1:19" ht="15.75">
      <c r="A14" s="85"/>
      <c r="B14" s="86"/>
      <c r="C14" s="86"/>
      <c r="D14" s="86"/>
      <c r="E14" s="86"/>
      <c r="F14" s="86"/>
      <c r="G14" s="86"/>
      <c r="H14" s="86"/>
      <c r="I14" s="79"/>
      <c r="J14" s="79"/>
      <c r="K14" s="79"/>
      <c r="N14" s="63">
        <v>3</v>
      </c>
      <c r="O14" s="64">
        <v>43</v>
      </c>
      <c r="P14" s="65">
        <f>R7*O14</f>
        <v>606.67941176470595</v>
      </c>
      <c r="Q14" s="63">
        <v>5</v>
      </c>
      <c r="R14" s="64">
        <v>0</v>
      </c>
      <c r="S14" s="65">
        <f>R14*R7</f>
        <v>0</v>
      </c>
    </row>
    <row r="15" spans="1:19" ht="15.75">
      <c r="A15" s="85"/>
      <c r="B15" s="86"/>
      <c r="C15" s="86"/>
      <c r="D15" s="86"/>
      <c r="E15" s="86"/>
      <c r="F15" s="86"/>
      <c r="G15" s="86"/>
      <c r="H15" s="86"/>
      <c r="I15" s="79"/>
      <c r="J15" s="79"/>
      <c r="K15" s="79"/>
      <c r="N15" s="63">
        <v>4</v>
      </c>
      <c r="O15" s="64">
        <v>43</v>
      </c>
      <c r="P15" s="65">
        <f>R7*O15</f>
        <v>606.67941176470595</v>
      </c>
      <c r="Q15" s="63">
        <v>1</v>
      </c>
      <c r="R15" s="64">
        <v>0</v>
      </c>
      <c r="S15" s="65">
        <f>R7*R15</f>
        <v>0</v>
      </c>
    </row>
    <row r="16" spans="1:19" ht="15.75">
      <c r="A16" s="85"/>
      <c r="B16" s="86"/>
      <c r="C16" s="86"/>
      <c r="D16" s="86"/>
      <c r="E16" s="86"/>
      <c r="F16" s="86"/>
      <c r="G16" s="86"/>
      <c r="H16" s="86"/>
      <c r="I16" s="79"/>
      <c r="J16" s="79"/>
      <c r="K16" s="79"/>
      <c r="N16" s="63">
        <v>5</v>
      </c>
      <c r="O16" s="64">
        <v>43</v>
      </c>
      <c r="P16" s="65">
        <f>R7*O16</f>
        <v>606.67941176470595</v>
      </c>
      <c r="Q16" s="63"/>
      <c r="R16" s="64">
        <v>0</v>
      </c>
      <c r="S16" s="65">
        <f>R7*R16</f>
        <v>0</v>
      </c>
    </row>
    <row r="17" spans="1:19" ht="15.75">
      <c r="A17" s="85"/>
      <c r="B17" s="86"/>
      <c r="C17" s="86"/>
      <c r="D17" s="86"/>
      <c r="E17" s="86"/>
      <c r="F17" s="86"/>
      <c r="G17" s="86"/>
      <c r="H17" s="86"/>
      <c r="I17" s="79"/>
      <c r="J17" s="79"/>
      <c r="K17" s="79"/>
      <c r="N17" s="63">
        <v>6</v>
      </c>
      <c r="O17" s="64">
        <v>43</v>
      </c>
      <c r="P17" s="65">
        <f>R7*O17</f>
        <v>606.67941176470595</v>
      </c>
      <c r="Q17" s="63"/>
      <c r="R17" s="64">
        <v>0</v>
      </c>
      <c r="S17" s="65">
        <f>R7*R17</f>
        <v>0</v>
      </c>
    </row>
    <row r="18" spans="1:19" ht="15.75">
      <c r="A18" s="85"/>
      <c r="B18" s="86"/>
      <c r="C18" s="86"/>
      <c r="D18" s="86"/>
      <c r="E18" s="86"/>
      <c r="F18" s="86"/>
      <c r="G18" s="86"/>
      <c r="H18" s="86"/>
      <c r="I18" s="79"/>
      <c r="J18" s="79"/>
      <c r="K18" s="79"/>
      <c r="N18" s="63">
        <v>7</v>
      </c>
      <c r="O18" s="64"/>
      <c r="P18" s="65">
        <f>R7*O18</f>
        <v>0</v>
      </c>
      <c r="Q18" s="63"/>
      <c r="R18" s="64">
        <v>0</v>
      </c>
      <c r="S18" s="65">
        <f>R7*R18</f>
        <v>0</v>
      </c>
    </row>
    <row r="19" spans="1:19" ht="15.75">
      <c r="A19" s="85"/>
      <c r="B19" s="86"/>
      <c r="C19" s="86"/>
      <c r="D19" s="86"/>
      <c r="E19" s="86"/>
      <c r="F19" s="86"/>
      <c r="G19" s="86"/>
      <c r="H19" s="86"/>
      <c r="I19" s="79"/>
      <c r="J19" s="79"/>
      <c r="K19" s="79"/>
      <c r="N19" s="63">
        <v>8</v>
      </c>
      <c r="O19" s="64"/>
      <c r="P19" s="65">
        <f>R7*O19</f>
        <v>0</v>
      </c>
      <c r="Q19" s="63"/>
      <c r="R19" s="64">
        <v>0</v>
      </c>
      <c r="S19" s="65">
        <f>R7*R19</f>
        <v>0</v>
      </c>
    </row>
    <row r="20" spans="1:19" ht="15.75" customHeight="1">
      <c r="A20" s="85"/>
      <c r="B20" s="86"/>
      <c r="C20" s="86"/>
      <c r="D20" s="86"/>
      <c r="E20" s="86"/>
      <c r="F20" s="86"/>
      <c r="G20" s="86"/>
      <c r="H20" s="86"/>
      <c r="I20" s="79"/>
      <c r="J20" s="79"/>
      <c r="K20" s="79"/>
      <c r="N20" s="63">
        <v>9</v>
      </c>
      <c r="O20" s="64">
        <v>0</v>
      </c>
      <c r="P20" s="65">
        <f>R7*O20</f>
        <v>0</v>
      </c>
      <c r="Q20" s="63"/>
      <c r="R20" s="64">
        <v>0</v>
      </c>
      <c r="S20" s="65">
        <f>R7*R20</f>
        <v>0</v>
      </c>
    </row>
    <row r="21" spans="1:19" ht="15.75" customHeight="1">
      <c r="A21" s="80"/>
      <c r="B21" s="81"/>
      <c r="C21" s="162"/>
      <c r="D21" s="81"/>
      <c r="E21" s="81"/>
      <c r="F21" s="81"/>
      <c r="G21" s="81"/>
      <c r="H21" s="81"/>
      <c r="I21" s="79"/>
      <c r="J21" s="79"/>
      <c r="K21" s="79"/>
      <c r="N21" s="68" t="s">
        <v>53</v>
      </c>
      <c r="O21" s="64">
        <v>0</v>
      </c>
      <c r="P21" s="65">
        <f>R7*O21</f>
        <v>0</v>
      </c>
      <c r="Q21" s="63"/>
      <c r="R21" s="64"/>
      <c r="S21" s="65">
        <f>R7*R21</f>
        <v>0</v>
      </c>
    </row>
    <row r="22" spans="1:19" ht="15.75" customHeight="1">
      <c r="A22" s="80"/>
      <c r="B22" s="81"/>
      <c r="C22" s="163"/>
      <c r="D22" s="81"/>
      <c r="E22" s="81"/>
      <c r="F22" s="81"/>
      <c r="G22" s="81"/>
      <c r="H22" s="81"/>
      <c r="I22" s="79"/>
      <c r="J22" s="79"/>
      <c r="K22" s="79"/>
      <c r="N22" s="59" t="s">
        <v>59</v>
      </c>
      <c r="O22" s="69">
        <f>P8-O12-O13-O14-O15-O16-O17-O18-O19-O20-O21</f>
        <v>-162.46153846153845</v>
      </c>
      <c r="P22" s="69">
        <f>Q8-P12-P13-P14-P15-P16-P17-P18-P19-P20-P21</f>
        <v>-2292.1411764705886</v>
      </c>
      <c r="Q22" s="59" t="s">
        <v>59</v>
      </c>
      <c r="R22" s="69">
        <f>P8-R12-R13-R14-R15-R16-R17-R18-R19-R20-R21</f>
        <v>1.538461538461533</v>
      </c>
      <c r="S22" s="69">
        <f>Q8-S12-S13-S14-S15-S16-S17-S18-S19-S20-S21</f>
        <v>21.705882352940989</v>
      </c>
    </row>
    <row r="23" spans="1:19" ht="15.75" customHeight="1">
      <c r="A23" s="80"/>
      <c r="B23" s="81"/>
      <c r="C23" s="164"/>
      <c r="D23" s="81"/>
      <c r="E23" s="81"/>
      <c r="F23" s="81"/>
      <c r="G23" s="81"/>
      <c r="H23" s="81"/>
      <c r="I23" s="79"/>
      <c r="J23" s="79"/>
      <c r="K23" s="79"/>
      <c r="N23" s="59" t="s">
        <v>60</v>
      </c>
      <c r="O23" s="62">
        <f>O12+O13+O14+O15+O16+O17+O18+O19+O20+O21</f>
        <v>258</v>
      </c>
      <c r="P23" s="62">
        <f>P12+P13+P14+P15+P16+P17+P18+P19+P20+P21</f>
        <v>3640.0764705882357</v>
      </c>
      <c r="Q23" s="59" t="s">
        <v>60</v>
      </c>
      <c r="R23" s="62">
        <f>R12+R13+R14+R15+R16+R17+R18+R19+R20+R21</f>
        <v>94</v>
      </c>
      <c r="S23" s="62">
        <f>S12+S13+S14+S15+S16+S17+S18+S19+S20+S21</f>
        <v>1326.2294117647061</v>
      </c>
    </row>
    <row r="24" spans="1:19" ht="15.75" customHeight="1">
      <c r="A24" s="80"/>
      <c r="B24" s="81"/>
      <c r="C24" s="164"/>
      <c r="D24" s="81"/>
      <c r="E24" s="81"/>
      <c r="F24" s="81"/>
      <c r="G24" s="81"/>
      <c r="H24" s="81"/>
      <c r="I24" s="79"/>
      <c r="J24" s="79"/>
      <c r="K24" s="79"/>
    </row>
    <row r="25" spans="1:19" ht="15.75" customHeight="1">
      <c r="A25" s="80"/>
      <c r="B25" s="81"/>
      <c r="C25" s="165"/>
      <c r="D25" s="81"/>
      <c r="E25" s="81"/>
      <c r="F25" s="81"/>
      <c r="G25" s="81"/>
      <c r="H25" s="81"/>
      <c r="I25" s="79"/>
      <c r="J25" s="79"/>
      <c r="K25" s="79"/>
    </row>
    <row r="26" spans="1:19" ht="15.75" customHeight="1">
      <c r="A26" s="80"/>
      <c r="B26" s="81"/>
      <c r="C26" s="166"/>
      <c r="D26" s="81"/>
      <c r="E26" s="81"/>
      <c r="F26" s="81"/>
      <c r="G26" s="81"/>
      <c r="H26" s="81"/>
      <c r="I26" s="79"/>
      <c r="J26" s="79"/>
      <c r="K26" s="79"/>
    </row>
    <row r="27" spans="1:19" ht="15.75" customHeight="1">
      <c r="A27" s="80"/>
      <c r="B27" s="81"/>
      <c r="C27" s="168"/>
      <c r="D27" s="81"/>
      <c r="E27" s="81"/>
      <c r="F27" s="81"/>
      <c r="G27" s="81"/>
      <c r="H27" s="81"/>
      <c r="I27" s="79"/>
      <c r="J27" s="79"/>
      <c r="K27" s="79"/>
    </row>
    <row r="28" spans="1:19" ht="15.75" customHeight="1">
      <c r="A28" s="80"/>
      <c r="B28" s="81"/>
      <c r="C28" s="168"/>
      <c r="D28" s="81"/>
      <c r="E28" s="81"/>
      <c r="F28" s="81"/>
      <c r="G28" s="81"/>
      <c r="H28" s="81"/>
      <c r="I28" s="79"/>
      <c r="J28" s="79"/>
      <c r="K28" s="79"/>
    </row>
    <row r="29" spans="1:19" ht="15.75" customHeight="1">
      <c r="A29" s="80"/>
      <c r="B29" s="81"/>
      <c r="C29" s="169"/>
      <c r="D29" s="81"/>
      <c r="E29" s="81"/>
      <c r="F29" s="81"/>
      <c r="G29" s="81"/>
      <c r="H29" s="81"/>
      <c r="I29" s="79"/>
      <c r="J29" s="79"/>
      <c r="K29" s="79"/>
    </row>
    <row r="30" spans="1:19" ht="15.75" customHeight="1">
      <c r="A30" s="80"/>
      <c r="B30" s="81"/>
      <c r="C30" s="171"/>
      <c r="D30" s="81"/>
      <c r="E30" s="81"/>
      <c r="F30" s="81"/>
      <c r="G30" s="81"/>
      <c r="H30" s="81"/>
      <c r="I30" s="79"/>
      <c r="J30" s="79"/>
      <c r="K30" s="79"/>
    </row>
    <row r="31" spans="1:19" ht="15.75" customHeight="1">
      <c r="A31" s="80"/>
      <c r="B31" s="81"/>
      <c r="C31" s="140"/>
      <c r="D31" s="81"/>
      <c r="E31" s="81"/>
      <c r="F31" s="81"/>
      <c r="G31" s="81"/>
      <c r="H31" s="81"/>
      <c r="I31" s="79"/>
      <c r="J31" s="79"/>
      <c r="K31" s="79"/>
    </row>
    <row r="32" spans="1:19" ht="15.75" customHeight="1">
      <c r="A32" s="80"/>
      <c r="B32" s="81"/>
      <c r="C32" s="140"/>
      <c r="D32" s="81"/>
      <c r="E32" s="81"/>
      <c r="F32" s="81"/>
      <c r="G32" s="81"/>
      <c r="H32" s="81"/>
      <c r="I32" s="79"/>
      <c r="J32" s="79"/>
      <c r="K32" s="79"/>
    </row>
    <row r="33" spans="1:11" ht="15.75" customHeight="1">
      <c r="A33" s="80"/>
      <c r="B33" s="81"/>
      <c r="C33" s="141"/>
      <c r="D33" s="81"/>
      <c r="E33" s="81"/>
      <c r="F33" s="81"/>
      <c r="G33" s="81"/>
      <c r="H33" s="81"/>
      <c r="I33" s="79"/>
      <c r="J33" s="79"/>
      <c r="K33" s="79"/>
    </row>
    <row r="34" spans="1:11" ht="15.75" customHeight="1">
      <c r="A34" s="80"/>
      <c r="B34" s="81"/>
      <c r="C34" s="143"/>
      <c r="D34" s="81"/>
      <c r="E34" s="81"/>
      <c r="F34" s="81"/>
      <c r="G34" s="81"/>
      <c r="H34" s="81"/>
      <c r="I34" s="79"/>
      <c r="J34" s="79"/>
      <c r="K34" s="79"/>
    </row>
    <row r="35" spans="1:11" ht="15.75" customHeight="1">
      <c r="A35" s="80"/>
      <c r="B35" s="81"/>
      <c r="C35" s="146"/>
      <c r="D35" s="81"/>
      <c r="E35" s="81"/>
      <c r="F35" s="81"/>
      <c r="G35" s="81"/>
      <c r="H35" s="81"/>
      <c r="I35" s="79"/>
      <c r="J35" s="79"/>
      <c r="K35" s="79"/>
    </row>
    <row r="36" spans="1:11" ht="15.75" customHeight="1">
      <c r="A36" s="80"/>
      <c r="B36" s="81"/>
      <c r="C36" s="146"/>
      <c r="D36" s="81"/>
      <c r="E36" s="81"/>
      <c r="F36" s="81"/>
      <c r="G36" s="81"/>
      <c r="H36" s="81"/>
      <c r="I36" s="79"/>
      <c r="J36" s="79"/>
      <c r="K36" s="79"/>
    </row>
    <row r="37" spans="1:11" ht="15.75" customHeight="1">
      <c r="A37" s="80"/>
      <c r="B37" s="81"/>
      <c r="C37" s="146"/>
      <c r="D37" s="81"/>
      <c r="E37" s="81"/>
      <c r="F37" s="81"/>
      <c r="G37" s="81"/>
      <c r="H37" s="81"/>
      <c r="I37" s="79"/>
      <c r="J37" s="79"/>
      <c r="K37" s="79"/>
    </row>
    <row r="38" spans="1:11" ht="15.75" customHeight="1">
      <c r="A38" s="80"/>
      <c r="B38" s="81"/>
      <c r="C38" s="146"/>
      <c r="D38" s="81"/>
      <c r="E38" s="81"/>
      <c r="F38" s="81"/>
      <c r="G38" s="81"/>
      <c r="H38" s="81"/>
      <c r="I38" s="79"/>
      <c r="J38" s="79"/>
      <c r="K38" s="79"/>
    </row>
    <row r="39" spans="1:11" ht="15.75" customHeight="1">
      <c r="A39" s="80"/>
      <c r="B39" s="81"/>
      <c r="C39" s="150"/>
      <c r="D39" s="81"/>
      <c r="E39" s="81"/>
      <c r="F39" s="81"/>
      <c r="G39" s="81"/>
      <c r="H39" s="81"/>
      <c r="I39" s="79"/>
      <c r="J39" s="79"/>
      <c r="K39" s="79"/>
    </row>
    <row r="40" spans="1:11" ht="15.75" customHeight="1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</row>
    <row r="41" spans="1:11" ht="15.75" customHeight="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</row>
    <row r="42" spans="1:11" ht="15.75" customHeight="1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</row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spans="13:23" ht="15.75" customHeight="1"/>
    <row r="50" spans="13:23" ht="15.75" customHeight="1"/>
    <row r="51" spans="13:23" ht="15.75" customHeight="1"/>
    <row r="52" spans="13:23" ht="15.75" customHeight="1"/>
    <row r="53" spans="13:23" ht="15.75" customHeight="1"/>
    <row r="54" spans="13:23" ht="15.75" customHeight="1"/>
    <row r="55" spans="13:23" ht="15.75" customHeight="1">
      <c r="M55" s="66">
        <v>45085</v>
      </c>
      <c r="N55" s="67">
        <v>2012</v>
      </c>
      <c r="O55" s="67" t="s">
        <v>103</v>
      </c>
      <c r="P55" s="67">
        <v>44</v>
      </c>
      <c r="Q55" s="67">
        <v>3</v>
      </c>
      <c r="R55" s="67">
        <v>20</v>
      </c>
      <c r="S55" s="67">
        <v>317</v>
      </c>
      <c r="T55" s="67">
        <v>87</v>
      </c>
      <c r="U55" s="58">
        <f>R55/(P55+Q55)</f>
        <v>0.42553191489361702</v>
      </c>
      <c r="V55" s="58">
        <f>S55/R55</f>
        <v>15.85</v>
      </c>
      <c r="W55" s="58">
        <f>T55/(P55+Q55)</f>
        <v>1.8510638297872339</v>
      </c>
    </row>
    <row r="56" spans="13:23" ht="15.75" customHeight="1">
      <c r="M56" s="89">
        <v>45079</v>
      </c>
      <c r="N56" s="72">
        <v>12</v>
      </c>
      <c r="O56" s="72" t="s">
        <v>104</v>
      </c>
      <c r="P56" s="72">
        <v>39</v>
      </c>
      <c r="Q56" s="72">
        <v>4</v>
      </c>
      <c r="R56" s="72">
        <v>38</v>
      </c>
      <c r="S56" s="72">
        <v>546</v>
      </c>
      <c r="T56" s="72">
        <v>100</v>
      </c>
      <c r="U56" s="90">
        <f>R56/(P56+Q56)</f>
        <v>0.88372093023255816</v>
      </c>
      <c r="V56" s="90">
        <f>S56/R56</f>
        <v>14.368421052631579</v>
      </c>
      <c r="W56" s="90">
        <f>T56/(P56+Q56)</f>
        <v>2.3255813953488373</v>
      </c>
    </row>
    <row r="57" spans="13:23" ht="15.75" customHeight="1"/>
    <row r="58" spans="13:23" ht="15.75" customHeight="1"/>
    <row r="59" spans="13:23" ht="15.75" customHeight="1"/>
    <row r="60" spans="13:23" ht="15.75" customHeight="1"/>
    <row r="61" spans="13:23" ht="15.75" customHeight="1"/>
    <row r="62" spans="13:23" ht="15.75" customHeight="1"/>
    <row r="63" spans="13:23" ht="15.75" customHeight="1"/>
    <row r="64" spans="13:2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>
  <sheetPr codeName="Лист54"/>
  <dimension ref="A1:S1000"/>
  <sheetViews>
    <sheetView workbookViewId="0">
      <selection activeCell="G14" sqref="G14"/>
    </sheetView>
  </sheetViews>
  <sheetFormatPr defaultColWidth="14.42578125" defaultRowHeight="15" customHeight="1"/>
  <cols>
    <col min="1" max="1" width="10.85546875" style="49" customWidth="1"/>
    <col min="2" max="8" width="8.7109375" style="49" customWidth="1"/>
    <col min="9" max="9" width="14" style="49" customWidth="1"/>
    <col min="10" max="10" width="15.5703125" style="49" customWidth="1"/>
    <col min="11" max="11" width="12.85546875" style="49" customWidth="1"/>
    <col min="12" max="13" width="8.7109375" style="49" customWidth="1"/>
    <col min="14" max="14" width="12" style="49" customWidth="1"/>
    <col min="15" max="15" width="11.5703125" style="49" customWidth="1"/>
    <col min="16" max="16" width="13.5703125" style="49" customWidth="1"/>
    <col min="17" max="17" width="12" style="49" customWidth="1"/>
    <col min="18" max="18" width="10.42578125" style="49" customWidth="1"/>
    <col min="19" max="19" width="12.7109375" style="49" customWidth="1"/>
    <col min="20" max="16384" width="14.42578125" style="49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203</v>
      </c>
    </row>
    <row r="3" spans="1:19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9">
      <c r="A4" s="73" t="s">
        <v>66</v>
      </c>
      <c r="B4" s="73" t="s">
        <v>70</v>
      </c>
      <c r="C4" s="510">
        <f>AVERAGEA(I7:I30)</f>
        <v>0.45289798629292738</v>
      </c>
      <c r="D4" s="511"/>
      <c r="E4" s="510">
        <f>AVERAGEA(J7:J30)</f>
        <v>13.763886130675839</v>
      </c>
      <c r="F4" s="511"/>
      <c r="G4" s="510">
        <f>AVERAGEA(K7:K30)</f>
        <v>1.1676409026402896</v>
      </c>
      <c r="H4" s="511"/>
      <c r="I4" s="74">
        <f>C4*K2</f>
        <v>91.938291217464254</v>
      </c>
      <c r="J4" s="74">
        <f>I4*E4</f>
        <v>1265.4281713660926</v>
      </c>
      <c r="K4" s="74">
        <f>K2*G4</f>
        <v>237.0311032359788</v>
      </c>
    </row>
    <row r="5" spans="1:19" ht="15" customHeight="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  <c r="N6" s="520"/>
      <c r="O6" s="520"/>
      <c r="P6" s="520"/>
      <c r="Q6" s="520"/>
      <c r="R6" s="520"/>
      <c r="S6" s="520"/>
    </row>
    <row r="7" spans="1:19" ht="15.75">
      <c r="A7" s="77">
        <v>46205</v>
      </c>
      <c r="B7" s="78">
        <v>503</v>
      </c>
      <c r="C7" s="78" t="s">
        <v>104</v>
      </c>
      <c r="D7" s="78">
        <v>292</v>
      </c>
      <c r="E7" s="78">
        <v>42</v>
      </c>
      <c r="F7" s="78">
        <v>152</v>
      </c>
      <c r="G7" s="78">
        <v>2072</v>
      </c>
      <c r="H7" s="78">
        <v>823</v>
      </c>
      <c r="I7" s="79">
        <f t="shared" ref="I7:I13" si="0">F7/(D7+E7)</f>
        <v>0.45508982035928142</v>
      </c>
      <c r="J7" s="79">
        <f t="shared" ref="J7:J13" si="1">G7/F7</f>
        <v>13.631578947368421</v>
      </c>
      <c r="K7" s="79">
        <f t="shared" ref="K7:K13" si="2">H7/(D7+E7)</f>
        <v>2.4640718562874251</v>
      </c>
      <c r="N7" s="59" t="s">
        <v>49</v>
      </c>
      <c r="O7" s="60">
        <f>K2</f>
        <v>203</v>
      </c>
      <c r="P7" s="61">
        <f>I4</f>
        <v>91.938291217464254</v>
      </c>
      <c r="Q7" s="61">
        <f>J4</f>
        <v>1265.4281713660926</v>
      </c>
      <c r="R7" s="539">
        <f>Q7/P7</f>
        <v>13.763886130675839</v>
      </c>
      <c r="S7" s="539">
        <f>P7/O7</f>
        <v>0.45289798629292738</v>
      </c>
    </row>
    <row r="8" spans="1:19" ht="15.75">
      <c r="A8" s="80">
        <v>46206</v>
      </c>
      <c r="B8" s="339">
        <v>503</v>
      </c>
      <c r="C8" s="420" t="s">
        <v>104</v>
      </c>
      <c r="D8" s="81">
        <v>289</v>
      </c>
      <c r="E8" s="81">
        <v>60</v>
      </c>
      <c r="F8" s="81">
        <v>168</v>
      </c>
      <c r="G8" s="81">
        <v>2262</v>
      </c>
      <c r="H8" s="81">
        <v>446</v>
      </c>
      <c r="I8" s="79">
        <f t="shared" si="0"/>
        <v>0.48137535816618909</v>
      </c>
      <c r="J8" s="79">
        <f t="shared" si="1"/>
        <v>13.464285714285714</v>
      </c>
      <c r="K8" s="79">
        <f t="shared" si="2"/>
        <v>1.2779369627507164</v>
      </c>
      <c r="N8" s="59" t="s">
        <v>50</v>
      </c>
      <c r="O8" s="60">
        <f>O7</f>
        <v>203</v>
      </c>
      <c r="P8" s="62">
        <f>O8*S7</f>
        <v>91.938291217464254</v>
      </c>
      <c r="Q8" s="62">
        <f>P8*R7</f>
        <v>1265.4281713660926</v>
      </c>
      <c r="R8" s="520"/>
      <c r="S8" s="520"/>
    </row>
    <row r="9" spans="1:19">
      <c r="A9" s="80">
        <v>46209</v>
      </c>
      <c r="B9" s="279">
        <v>503</v>
      </c>
      <c r="C9" s="426" t="s">
        <v>104</v>
      </c>
      <c r="D9" s="81">
        <v>287</v>
      </c>
      <c r="E9" s="81">
        <v>61</v>
      </c>
      <c r="F9" s="81">
        <v>141</v>
      </c>
      <c r="G9" s="81">
        <v>1954</v>
      </c>
      <c r="H9" s="81">
        <v>315</v>
      </c>
      <c r="I9" s="79">
        <f t="shared" si="0"/>
        <v>0.40517241379310343</v>
      </c>
      <c r="J9" s="79">
        <f t="shared" si="1"/>
        <v>13.858156028368795</v>
      </c>
      <c r="K9" s="79">
        <f t="shared" si="2"/>
        <v>0.90517241379310343</v>
      </c>
      <c r="N9" s="521" t="s">
        <v>51</v>
      </c>
      <c r="O9" s="516"/>
      <c r="P9" s="516"/>
      <c r="Q9" s="516"/>
      <c r="R9" s="516"/>
      <c r="S9" s="511"/>
    </row>
    <row r="10" spans="1:19">
      <c r="A10" s="219">
        <v>46212</v>
      </c>
      <c r="B10" s="345">
        <v>503</v>
      </c>
      <c r="C10" s="433" t="s">
        <v>104</v>
      </c>
      <c r="D10" s="81">
        <v>313</v>
      </c>
      <c r="E10" s="81">
        <v>47</v>
      </c>
      <c r="F10" s="81">
        <v>153</v>
      </c>
      <c r="G10" s="81">
        <v>2098</v>
      </c>
      <c r="H10" s="81">
        <v>230</v>
      </c>
      <c r="I10" s="79">
        <f t="shared" si="0"/>
        <v>0.42499999999999999</v>
      </c>
      <c r="J10" s="79">
        <f t="shared" si="1"/>
        <v>13.712418300653594</v>
      </c>
      <c r="K10" s="79">
        <f t="shared" si="2"/>
        <v>0.63888888888888884</v>
      </c>
      <c r="N10" s="521" t="s">
        <v>52</v>
      </c>
      <c r="O10" s="516"/>
      <c r="P10" s="511"/>
      <c r="Q10" s="521" t="s">
        <v>53</v>
      </c>
      <c r="R10" s="516"/>
      <c r="S10" s="511"/>
    </row>
    <row r="11" spans="1:19">
      <c r="A11" s="80">
        <v>46213</v>
      </c>
      <c r="B11" s="282">
        <v>503</v>
      </c>
      <c r="C11" s="433" t="s">
        <v>104</v>
      </c>
      <c r="D11" s="81">
        <v>305</v>
      </c>
      <c r="E11" s="81">
        <v>58</v>
      </c>
      <c r="F11" s="81">
        <v>181</v>
      </c>
      <c r="G11" s="81">
        <v>2562</v>
      </c>
      <c r="H11" s="81">
        <v>107</v>
      </c>
      <c r="I11" s="79">
        <f t="shared" si="0"/>
        <v>0.49862258953168043</v>
      </c>
      <c r="J11" s="79">
        <f t="shared" si="1"/>
        <v>14.154696132596685</v>
      </c>
      <c r="K11" s="79">
        <f t="shared" si="2"/>
        <v>0.29476584022038566</v>
      </c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.75">
      <c r="A12" s="80">
        <v>46217</v>
      </c>
      <c r="B12" s="284">
        <v>503</v>
      </c>
      <c r="C12" s="440" t="s">
        <v>104</v>
      </c>
      <c r="D12" s="81">
        <v>308</v>
      </c>
      <c r="E12" s="81">
        <v>53</v>
      </c>
      <c r="F12" s="81">
        <v>172</v>
      </c>
      <c r="G12" s="81">
        <v>2304</v>
      </c>
      <c r="H12" s="81">
        <v>309</v>
      </c>
      <c r="I12" s="79">
        <f t="shared" si="0"/>
        <v>0.47645429362880887</v>
      </c>
      <c r="J12" s="79">
        <f t="shared" si="1"/>
        <v>13.395348837209303</v>
      </c>
      <c r="K12" s="79">
        <f t="shared" si="2"/>
        <v>0.85595567867036015</v>
      </c>
      <c r="N12" s="63">
        <v>1</v>
      </c>
      <c r="O12" s="64">
        <v>26</v>
      </c>
      <c r="P12" s="65">
        <f>O12*R7</f>
        <v>357.8610393975718</v>
      </c>
      <c r="Q12" s="63">
        <v>3</v>
      </c>
      <c r="R12" s="64">
        <v>40</v>
      </c>
      <c r="S12" s="65">
        <f>R12*R7</f>
        <v>550.5554452270336</v>
      </c>
    </row>
    <row r="13" spans="1:19" ht="15.75">
      <c r="A13" s="174">
        <v>46218</v>
      </c>
      <c r="B13" s="286">
        <v>503</v>
      </c>
      <c r="C13" s="441" t="s">
        <v>104</v>
      </c>
      <c r="D13" s="81">
        <v>297</v>
      </c>
      <c r="E13" s="81">
        <v>60</v>
      </c>
      <c r="F13" s="81">
        <v>153</v>
      </c>
      <c r="G13" s="81">
        <v>2162</v>
      </c>
      <c r="H13" s="81">
        <v>620</v>
      </c>
      <c r="I13" s="79">
        <f t="shared" si="0"/>
        <v>0.42857142857142855</v>
      </c>
      <c r="J13" s="79">
        <f t="shared" si="1"/>
        <v>14.130718954248366</v>
      </c>
      <c r="K13" s="79">
        <f t="shared" si="2"/>
        <v>1.7366946778711485</v>
      </c>
      <c r="N13" s="63">
        <v>2</v>
      </c>
      <c r="O13" s="64">
        <v>26</v>
      </c>
      <c r="P13" s="65">
        <f>O13*R7</f>
        <v>357.8610393975718</v>
      </c>
      <c r="Q13" s="63">
        <v>4</v>
      </c>
      <c r="R13" s="64">
        <v>35</v>
      </c>
      <c r="S13" s="65">
        <f>R7*R13</f>
        <v>481.73601457365436</v>
      </c>
    </row>
    <row r="14" spans="1:19" ht="15.75">
      <c r="A14" s="80"/>
      <c r="B14" s="289"/>
      <c r="C14" s="404"/>
      <c r="D14" s="81"/>
      <c r="E14" s="81"/>
      <c r="F14" s="81"/>
      <c r="G14" s="81"/>
      <c r="H14" s="81"/>
      <c r="I14" s="79"/>
      <c r="J14" s="79"/>
      <c r="K14" s="79"/>
      <c r="N14" s="63">
        <v>3</v>
      </c>
      <c r="O14" s="64">
        <v>26</v>
      </c>
      <c r="P14" s="65">
        <f>R7*O14</f>
        <v>357.8610393975718</v>
      </c>
      <c r="Q14" s="63">
        <v>5</v>
      </c>
      <c r="R14" s="64">
        <v>0</v>
      </c>
      <c r="S14" s="65">
        <f>R14*R7</f>
        <v>0</v>
      </c>
    </row>
    <row r="15" spans="1:19" ht="15.75">
      <c r="A15" s="113"/>
      <c r="B15" s="292"/>
      <c r="C15" s="407"/>
      <c r="D15" s="81"/>
      <c r="E15" s="81"/>
      <c r="F15" s="81"/>
      <c r="G15" s="81"/>
      <c r="H15" s="81"/>
      <c r="I15" s="79"/>
      <c r="J15" s="79"/>
      <c r="K15" s="79"/>
      <c r="N15" s="63">
        <v>4</v>
      </c>
      <c r="O15" s="64">
        <v>26</v>
      </c>
      <c r="P15" s="65">
        <f>R7*O15</f>
        <v>357.8610393975718</v>
      </c>
      <c r="Q15" s="63">
        <v>1</v>
      </c>
      <c r="R15" s="64">
        <v>0</v>
      </c>
      <c r="S15" s="65">
        <f>R7*R15</f>
        <v>0</v>
      </c>
    </row>
    <row r="16" spans="1:19" ht="15.75">
      <c r="A16" s="80"/>
      <c r="B16" s="409"/>
      <c r="C16" s="409"/>
      <c r="D16" s="81"/>
      <c r="E16" s="81"/>
      <c r="F16" s="81"/>
      <c r="G16" s="81"/>
      <c r="H16" s="81"/>
      <c r="I16" s="79"/>
      <c r="J16" s="79"/>
      <c r="K16" s="79"/>
      <c r="N16" s="63">
        <v>5</v>
      </c>
      <c r="O16" s="64">
        <v>0</v>
      </c>
      <c r="P16" s="65">
        <f>R7*O16</f>
        <v>0</v>
      </c>
      <c r="Q16" s="63"/>
      <c r="R16" s="64">
        <v>0</v>
      </c>
      <c r="S16" s="65">
        <f>R7*R16</f>
        <v>0</v>
      </c>
    </row>
    <row r="17" spans="1:19" ht="15.75">
      <c r="A17" s="126"/>
      <c r="B17" s="214"/>
      <c r="C17" s="415"/>
      <c r="D17" s="81"/>
      <c r="E17" s="81"/>
      <c r="F17" s="81"/>
      <c r="G17" s="81"/>
      <c r="H17" s="81"/>
      <c r="I17" s="79"/>
      <c r="J17" s="79"/>
      <c r="K17" s="79"/>
      <c r="N17" s="63">
        <v>6</v>
      </c>
      <c r="O17" s="64">
        <v>0</v>
      </c>
      <c r="P17" s="65">
        <f>R7*O17</f>
        <v>0</v>
      </c>
      <c r="Q17" s="63"/>
      <c r="R17" s="64">
        <v>0</v>
      </c>
      <c r="S17" s="65">
        <f>R7*R17</f>
        <v>0</v>
      </c>
    </row>
    <row r="18" spans="1:19" ht="15.75">
      <c r="A18" s="80"/>
      <c r="B18" s="270"/>
      <c r="C18" s="270"/>
      <c r="D18" s="81"/>
      <c r="E18" s="81"/>
      <c r="F18" s="81"/>
      <c r="G18" s="81"/>
      <c r="H18" s="81"/>
      <c r="I18" s="79"/>
      <c r="J18" s="79"/>
      <c r="K18" s="79"/>
      <c r="N18" s="63">
        <v>7</v>
      </c>
      <c r="O18" s="64">
        <v>0</v>
      </c>
      <c r="P18" s="65">
        <f>R7*O18</f>
        <v>0</v>
      </c>
      <c r="Q18" s="63"/>
      <c r="R18" s="64">
        <v>0</v>
      </c>
      <c r="S18" s="65">
        <f>R7*R18</f>
        <v>0</v>
      </c>
    </row>
    <row r="19" spans="1:19" ht="15.75">
      <c r="A19" s="80"/>
      <c r="B19" s="275"/>
      <c r="C19" s="275"/>
      <c r="D19" s="81"/>
      <c r="E19" s="81"/>
      <c r="F19" s="81"/>
      <c r="G19" s="81"/>
      <c r="H19" s="81"/>
      <c r="I19" s="79"/>
      <c r="J19" s="79"/>
      <c r="K19" s="79"/>
      <c r="N19" s="63">
        <v>8</v>
      </c>
      <c r="O19" s="64">
        <v>0</v>
      </c>
      <c r="P19" s="65">
        <f>R7*O19</f>
        <v>0</v>
      </c>
      <c r="Q19" s="63"/>
      <c r="R19" s="64">
        <v>0</v>
      </c>
      <c r="S19" s="65">
        <f>R7*R19</f>
        <v>0</v>
      </c>
    </row>
    <row r="20" spans="1:19" ht="15.75">
      <c r="A20" s="80"/>
      <c r="B20" s="81"/>
      <c r="C20" s="250"/>
      <c r="D20" s="81"/>
      <c r="E20" s="81"/>
      <c r="F20" s="81"/>
      <c r="G20" s="81"/>
      <c r="H20" s="81"/>
      <c r="I20" s="79"/>
      <c r="J20" s="79"/>
      <c r="K20" s="79"/>
      <c r="N20" s="63">
        <v>9</v>
      </c>
      <c r="O20" s="64">
        <v>0</v>
      </c>
      <c r="P20" s="65">
        <f>R7*O20</f>
        <v>0</v>
      </c>
      <c r="Q20" s="63"/>
      <c r="R20" s="64">
        <v>0</v>
      </c>
      <c r="S20" s="65">
        <f>R7*R20</f>
        <v>0</v>
      </c>
    </row>
    <row r="21" spans="1:19" ht="15.75" customHeight="1">
      <c r="A21" s="80"/>
      <c r="B21" s="81"/>
      <c r="C21" s="251"/>
      <c r="D21" s="81"/>
      <c r="E21" s="81"/>
      <c r="F21" s="81"/>
      <c r="G21" s="81"/>
      <c r="H21" s="81"/>
      <c r="I21" s="79"/>
      <c r="J21" s="79"/>
      <c r="K21" s="79"/>
      <c r="N21" s="68" t="s">
        <v>53</v>
      </c>
      <c r="O21" s="64">
        <v>0</v>
      </c>
      <c r="P21" s="65">
        <f>R7*O21</f>
        <v>0</v>
      </c>
      <c r="Q21" s="63"/>
      <c r="R21" s="64"/>
      <c r="S21" s="65">
        <f>R7*R21</f>
        <v>0</v>
      </c>
    </row>
    <row r="22" spans="1:19" ht="15.75" customHeight="1">
      <c r="A22" s="80"/>
      <c r="B22" s="81"/>
      <c r="C22" s="252"/>
      <c r="D22" s="81"/>
      <c r="E22" s="81"/>
      <c r="F22" s="81"/>
      <c r="G22" s="81"/>
      <c r="H22" s="81"/>
      <c r="I22" s="79"/>
      <c r="J22" s="79"/>
      <c r="K22" s="79"/>
      <c r="N22" s="59" t="s">
        <v>59</v>
      </c>
      <c r="O22" s="69">
        <f>P8-O12-O13-O14-O15-O16-O17-O18-O19-O20-O21</f>
        <v>-12.061708782535746</v>
      </c>
      <c r="P22" s="69">
        <f>Q8-P12-P13-P14-P15-P16-P17-P18-P19-P20-P21</f>
        <v>-166.01598622419476</v>
      </c>
      <c r="Q22" s="59" t="s">
        <v>59</v>
      </c>
      <c r="R22" s="69">
        <f>P8-R12-R13-R14-R15-R16-R17-R18-R19-R20-R21</f>
        <v>16.938291217464254</v>
      </c>
      <c r="S22" s="69">
        <f>Q8-S12-S13-S14-S15-S16-S17-S18-S19-S20-S21</f>
        <v>233.1367115654046</v>
      </c>
    </row>
    <row r="23" spans="1:19" ht="15.75" customHeight="1">
      <c r="A23" s="80"/>
      <c r="B23" s="81"/>
      <c r="C23" s="252"/>
      <c r="D23" s="81"/>
      <c r="E23" s="81"/>
      <c r="F23" s="81"/>
      <c r="G23" s="81"/>
      <c r="H23" s="81"/>
      <c r="I23" s="79"/>
      <c r="J23" s="79"/>
      <c r="K23" s="79"/>
      <c r="N23" s="59" t="s">
        <v>60</v>
      </c>
      <c r="O23" s="62">
        <f>O12+O13+O14+O15+O16+O17+O18+O19+O20+O21</f>
        <v>104</v>
      </c>
      <c r="P23" s="62">
        <f>P12+P13+P14+P15+P16+P17+P18+P19+P20+P21</f>
        <v>1431.4441575902872</v>
      </c>
      <c r="Q23" s="59" t="s">
        <v>60</v>
      </c>
      <c r="R23" s="62">
        <f>R12+R13+R14+R15+R16+R17+R18+R19+R20+R21</f>
        <v>75</v>
      </c>
      <c r="S23" s="62">
        <f>S12+S13+S14+S15+S16+S17+S18+S19+S20+S21</f>
        <v>1032.291459800688</v>
      </c>
    </row>
    <row r="24" spans="1:19" ht="15.75" customHeight="1">
      <c r="A24" s="80"/>
      <c r="B24" s="81"/>
      <c r="C24" s="252"/>
      <c r="D24" s="81"/>
      <c r="E24" s="81"/>
      <c r="F24" s="81"/>
      <c r="G24" s="81"/>
      <c r="H24" s="81"/>
      <c r="I24" s="79"/>
      <c r="J24" s="79"/>
      <c r="K24" s="79"/>
    </row>
    <row r="25" spans="1:19" ht="15.75" customHeight="1">
      <c r="A25" s="80"/>
      <c r="B25" s="81"/>
      <c r="C25" s="253"/>
      <c r="D25" s="81"/>
      <c r="E25" s="81"/>
      <c r="F25" s="81"/>
      <c r="G25" s="81"/>
      <c r="H25" s="81"/>
      <c r="I25" s="79"/>
      <c r="J25" s="79"/>
      <c r="K25" s="79"/>
    </row>
    <row r="26" spans="1:19" ht="15.75" customHeight="1">
      <c r="A26" s="80"/>
      <c r="B26" s="81"/>
      <c r="C26" s="254"/>
      <c r="D26" s="81"/>
      <c r="E26" s="81"/>
      <c r="F26" s="81"/>
      <c r="G26" s="81"/>
      <c r="H26" s="81"/>
      <c r="I26" s="79"/>
      <c r="J26" s="79"/>
      <c r="K26" s="79"/>
    </row>
    <row r="27" spans="1:19" ht="15.75" customHeight="1">
      <c r="A27" s="80"/>
      <c r="B27" s="81"/>
      <c r="C27" s="254"/>
      <c r="D27" s="81"/>
      <c r="E27" s="81"/>
      <c r="F27" s="81"/>
      <c r="G27" s="81"/>
      <c r="H27" s="81"/>
      <c r="I27" s="79"/>
      <c r="J27" s="79"/>
      <c r="K27" s="79"/>
    </row>
    <row r="28" spans="1:19" ht="15.75" customHeight="1">
      <c r="A28" s="80"/>
      <c r="B28" s="81"/>
      <c r="C28" s="243"/>
      <c r="D28" s="81"/>
      <c r="E28" s="81"/>
      <c r="F28" s="81"/>
      <c r="G28" s="81"/>
      <c r="H28" s="81"/>
      <c r="I28" s="79"/>
      <c r="J28" s="79"/>
      <c r="K28" s="79"/>
    </row>
    <row r="29" spans="1:19" ht="15.75" customHeight="1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</row>
    <row r="30" spans="1:19" ht="15.75" customHeight="1"/>
    <row r="31" spans="1:19" ht="15.75" customHeight="1"/>
    <row r="32" spans="1:1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67"/>
      <c r="O55" s="67"/>
      <c r="P55" s="67"/>
      <c r="Q55" s="67"/>
      <c r="R55" s="67"/>
      <c r="S55" s="67"/>
    </row>
    <row r="56" spans="14:19" ht="15.75" customHeight="1">
      <c r="N56" s="72"/>
      <c r="O56" s="72"/>
      <c r="P56" s="72"/>
      <c r="Q56" s="72"/>
      <c r="R56" s="72"/>
      <c r="S56" s="7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86.xml><?xml version="1.0" encoding="utf-8"?>
<worksheet xmlns="http://schemas.openxmlformats.org/spreadsheetml/2006/main" xmlns:r="http://schemas.openxmlformats.org/officeDocument/2006/relationships">
  <sheetPr codeName="Лист55">
    <outlinePr summaryBelow="0" summaryRight="0"/>
  </sheetPr>
  <dimension ref="A1:S1000"/>
  <sheetViews>
    <sheetView workbookViewId="0">
      <selection activeCell="I11" sqref="I11"/>
    </sheetView>
  </sheetViews>
  <sheetFormatPr defaultColWidth="14.42578125" defaultRowHeight="15" customHeight="1"/>
  <cols>
    <col min="1" max="1" width="11" style="49" customWidth="1"/>
    <col min="2" max="8" width="8.7109375" style="49" customWidth="1"/>
    <col min="9" max="9" width="14" style="49" customWidth="1"/>
    <col min="10" max="10" width="15.5703125" style="49" customWidth="1"/>
    <col min="11" max="11" width="12.85546875" style="49" customWidth="1"/>
    <col min="12" max="13" width="8.7109375" style="49" customWidth="1"/>
    <col min="14" max="14" width="12" style="49" customWidth="1"/>
    <col min="15" max="15" width="11.5703125" style="49" customWidth="1"/>
    <col min="16" max="16" width="13.5703125" style="49" customWidth="1"/>
    <col min="17" max="17" width="12" style="49" customWidth="1"/>
    <col min="18" max="18" width="10.42578125" style="49" customWidth="1"/>
    <col min="19" max="19" width="12.7109375" style="49" customWidth="1"/>
    <col min="20" max="16384" width="14.42578125" style="49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150</v>
      </c>
    </row>
    <row r="3" spans="1:19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9">
      <c r="A4" s="73" t="s">
        <v>66</v>
      </c>
      <c r="B4" s="73" t="s">
        <v>105</v>
      </c>
      <c r="C4" s="510">
        <f>AVERAGEA(I7:I40)</f>
        <v>0.41192655580484328</v>
      </c>
      <c r="D4" s="511"/>
      <c r="E4" s="510">
        <f>AVERAGEA(J7:J40)</f>
        <v>14.172382630919216</v>
      </c>
      <c r="F4" s="511"/>
      <c r="G4" s="510">
        <f>AVERAGEA(K7:K40)</f>
        <v>1.333053245780677</v>
      </c>
      <c r="H4" s="511"/>
      <c r="I4" s="74">
        <f>C4*K2</f>
        <v>61.788983370726491</v>
      </c>
      <c r="J4" s="74">
        <f>I4*E4</f>
        <v>875.69711470544041</v>
      </c>
      <c r="K4" s="74">
        <f>K2*G4</f>
        <v>199.95798686710154</v>
      </c>
    </row>
    <row r="5" spans="1:19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20"/>
      <c r="B6" s="520"/>
      <c r="C6" s="520"/>
      <c r="D6" s="520"/>
      <c r="E6" s="520"/>
      <c r="F6" s="54" t="s">
        <v>20</v>
      </c>
      <c r="G6" s="55" t="s">
        <v>21</v>
      </c>
      <c r="H6" s="520"/>
      <c r="I6" s="520"/>
      <c r="J6" s="520"/>
      <c r="K6" s="520"/>
      <c r="N6" s="520"/>
      <c r="O6" s="520"/>
      <c r="P6" s="520"/>
      <c r="Q6" s="520"/>
      <c r="R6" s="520"/>
      <c r="S6" s="520"/>
    </row>
    <row r="7" spans="1:19" ht="15.75">
      <c r="A7" s="56">
        <v>46177</v>
      </c>
      <c r="B7" s="57" t="s">
        <v>143</v>
      </c>
      <c r="C7" s="57" t="s">
        <v>73</v>
      </c>
      <c r="D7" s="57">
        <v>86</v>
      </c>
      <c r="E7" s="57">
        <v>11</v>
      </c>
      <c r="F7" s="57">
        <v>41</v>
      </c>
      <c r="G7" s="57">
        <v>589</v>
      </c>
      <c r="H7" s="57">
        <v>145</v>
      </c>
      <c r="I7" s="58">
        <f t="shared" ref="I7:I11" si="0">F7/(D7+E7)</f>
        <v>0.42268041237113402</v>
      </c>
      <c r="J7" s="58">
        <f t="shared" ref="J7:J11" si="1">G7/F7</f>
        <v>14.365853658536585</v>
      </c>
      <c r="K7" s="58">
        <f t="shared" ref="K7:K11" si="2">H7/(D7+E7)</f>
        <v>1.4948453608247423</v>
      </c>
      <c r="N7" s="59" t="s">
        <v>49</v>
      </c>
      <c r="O7" s="60">
        <f>K2</f>
        <v>150</v>
      </c>
      <c r="P7" s="61">
        <f>I4</f>
        <v>61.788983370726491</v>
      </c>
      <c r="Q7" s="61">
        <f>J4</f>
        <v>875.69711470544041</v>
      </c>
      <c r="R7" s="539">
        <f>Q7/P7</f>
        <v>14.172382630919216</v>
      </c>
      <c r="S7" s="539">
        <f>P7/O7</f>
        <v>0.41192655580484328</v>
      </c>
    </row>
    <row r="8" spans="1:19" ht="15.75">
      <c r="A8" s="56">
        <v>46180</v>
      </c>
      <c r="B8" s="57">
        <v>513</v>
      </c>
      <c r="C8" s="57" t="s">
        <v>62</v>
      </c>
      <c r="D8" s="57">
        <v>108</v>
      </c>
      <c r="E8" s="57">
        <v>22</v>
      </c>
      <c r="F8" s="57">
        <v>48</v>
      </c>
      <c r="G8" s="57">
        <v>752</v>
      </c>
      <c r="H8" s="57">
        <v>123</v>
      </c>
      <c r="I8" s="58">
        <f t="shared" si="0"/>
        <v>0.36923076923076925</v>
      </c>
      <c r="J8" s="58">
        <f t="shared" si="1"/>
        <v>15.666666666666666</v>
      </c>
      <c r="K8" s="58">
        <f t="shared" si="2"/>
        <v>0.94615384615384612</v>
      </c>
      <c r="N8" s="59" t="s">
        <v>50</v>
      </c>
      <c r="O8" s="60">
        <f>O7</f>
        <v>150</v>
      </c>
      <c r="P8" s="62">
        <f>O8*S7</f>
        <v>61.788983370726491</v>
      </c>
      <c r="Q8" s="62">
        <f>P8*R7</f>
        <v>875.69711470544041</v>
      </c>
      <c r="R8" s="520"/>
      <c r="S8" s="520"/>
    </row>
    <row r="9" spans="1:19">
      <c r="A9" s="56">
        <v>46187</v>
      </c>
      <c r="B9" s="57">
        <v>513</v>
      </c>
      <c r="C9" s="57" t="s">
        <v>62</v>
      </c>
      <c r="D9" s="57">
        <v>136</v>
      </c>
      <c r="E9" s="57">
        <v>23</v>
      </c>
      <c r="F9" s="57">
        <v>66</v>
      </c>
      <c r="G9" s="57">
        <v>910</v>
      </c>
      <c r="H9" s="57">
        <v>346</v>
      </c>
      <c r="I9" s="58">
        <f t="shared" si="0"/>
        <v>0.41509433962264153</v>
      </c>
      <c r="J9" s="58">
        <f t="shared" si="1"/>
        <v>13.787878787878787</v>
      </c>
      <c r="K9" s="58">
        <f t="shared" si="2"/>
        <v>2.1761006289308176</v>
      </c>
      <c r="N9" s="521" t="s">
        <v>51</v>
      </c>
      <c r="O9" s="516"/>
      <c r="P9" s="516"/>
      <c r="Q9" s="516"/>
      <c r="R9" s="516"/>
      <c r="S9" s="511"/>
    </row>
    <row r="10" spans="1:19">
      <c r="A10" s="56">
        <v>46191</v>
      </c>
      <c r="B10" s="57" t="s">
        <v>150</v>
      </c>
      <c r="C10" s="57" t="s">
        <v>73</v>
      </c>
      <c r="D10" s="57">
        <v>94</v>
      </c>
      <c r="E10" s="57">
        <v>32</v>
      </c>
      <c r="F10" s="57">
        <v>39</v>
      </c>
      <c r="G10" s="57">
        <v>521</v>
      </c>
      <c r="H10" s="57">
        <v>106</v>
      </c>
      <c r="I10" s="58">
        <f t="shared" si="0"/>
        <v>0.30952380952380953</v>
      </c>
      <c r="J10" s="58">
        <f t="shared" si="1"/>
        <v>13.358974358974359</v>
      </c>
      <c r="K10" s="58">
        <f t="shared" si="2"/>
        <v>0.84126984126984128</v>
      </c>
      <c r="N10" s="521" t="s">
        <v>52</v>
      </c>
      <c r="O10" s="516"/>
      <c r="P10" s="511"/>
      <c r="Q10" s="521" t="s">
        <v>53</v>
      </c>
      <c r="R10" s="516"/>
      <c r="S10" s="511"/>
    </row>
    <row r="11" spans="1:19">
      <c r="A11" s="56">
        <v>46194</v>
      </c>
      <c r="B11" s="57">
        <v>513</v>
      </c>
      <c r="C11" s="57" t="s">
        <v>62</v>
      </c>
      <c r="D11" s="57">
        <v>93</v>
      </c>
      <c r="E11" s="57">
        <v>23</v>
      </c>
      <c r="F11" s="57">
        <v>63</v>
      </c>
      <c r="G11" s="57">
        <v>862</v>
      </c>
      <c r="H11" s="57">
        <v>140</v>
      </c>
      <c r="I11" s="58">
        <f t="shared" si="0"/>
        <v>0.5431034482758621</v>
      </c>
      <c r="J11" s="58">
        <f t="shared" si="1"/>
        <v>13.682539682539682</v>
      </c>
      <c r="K11" s="58">
        <f t="shared" si="2"/>
        <v>1.2068965517241379</v>
      </c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.75">
      <c r="A12" s="56"/>
      <c r="B12" s="57"/>
      <c r="C12" s="57"/>
      <c r="D12" s="57"/>
      <c r="E12" s="57"/>
      <c r="F12" s="57"/>
      <c r="G12" s="57"/>
      <c r="H12" s="57"/>
      <c r="I12" s="58"/>
      <c r="J12" s="58"/>
      <c r="K12" s="58"/>
      <c r="N12" s="63">
        <v>1</v>
      </c>
      <c r="O12" s="64">
        <v>0</v>
      </c>
      <c r="P12" s="65">
        <f>O12*R7</f>
        <v>0</v>
      </c>
      <c r="Q12" s="63">
        <v>3</v>
      </c>
      <c r="R12" s="64">
        <v>60</v>
      </c>
      <c r="S12" s="65">
        <f>R12*R7</f>
        <v>850.34295785515292</v>
      </c>
    </row>
    <row r="13" spans="1:19" ht="15.75">
      <c r="A13" s="56"/>
      <c r="B13" s="57"/>
      <c r="C13" s="57"/>
      <c r="D13" s="57"/>
      <c r="E13" s="57"/>
      <c r="F13" s="57"/>
      <c r="G13" s="57"/>
      <c r="H13" s="57"/>
      <c r="I13" s="58"/>
      <c r="J13" s="58"/>
      <c r="K13" s="58"/>
      <c r="N13" s="63">
        <v>2</v>
      </c>
      <c r="O13" s="64">
        <v>0</v>
      </c>
      <c r="P13" s="65">
        <f>O13*R7</f>
        <v>0</v>
      </c>
      <c r="Q13" s="63">
        <v>4</v>
      </c>
      <c r="R13" s="64">
        <v>62</v>
      </c>
      <c r="S13" s="65">
        <f>R7*R13</f>
        <v>878.68772311699138</v>
      </c>
    </row>
    <row r="14" spans="1:19" ht="15.75">
      <c r="A14" s="56"/>
      <c r="B14" s="57"/>
      <c r="C14" s="57"/>
      <c r="D14" s="57"/>
      <c r="E14" s="57"/>
      <c r="F14" s="57"/>
      <c r="G14" s="57"/>
      <c r="H14" s="57"/>
      <c r="I14" s="58"/>
      <c r="J14" s="58"/>
      <c r="K14" s="58"/>
      <c r="N14" s="63">
        <v>3</v>
      </c>
      <c r="O14" s="64">
        <v>0</v>
      </c>
      <c r="P14" s="65">
        <f>R7*O14</f>
        <v>0</v>
      </c>
      <c r="Q14" s="63">
        <v>5</v>
      </c>
      <c r="R14" s="64">
        <v>0</v>
      </c>
      <c r="S14" s="65">
        <f>R14*R7</f>
        <v>0</v>
      </c>
    </row>
    <row r="15" spans="1:19" ht="15.75">
      <c r="A15" s="56"/>
      <c r="B15" s="57"/>
      <c r="C15" s="57"/>
      <c r="D15" s="57"/>
      <c r="E15" s="57"/>
      <c r="F15" s="57"/>
      <c r="G15" s="57"/>
      <c r="H15" s="57"/>
      <c r="I15" s="58"/>
      <c r="J15" s="58"/>
      <c r="K15" s="58"/>
      <c r="N15" s="63">
        <v>4</v>
      </c>
      <c r="O15" s="64">
        <v>0</v>
      </c>
      <c r="P15" s="65">
        <f>R7*O15</f>
        <v>0</v>
      </c>
      <c r="Q15" s="63">
        <v>1</v>
      </c>
      <c r="R15" s="64">
        <v>0</v>
      </c>
      <c r="S15" s="65">
        <f>R7*R15</f>
        <v>0</v>
      </c>
    </row>
    <row r="16" spans="1:19" ht="15.75">
      <c r="A16" s="56"/>
      <c r="B16" s="57"/>
      <c r="C16" s="57"/>
      <c r="D16" s="57"/>
      <c r="E16" s="57"/>
      <c r="F16" s="57"/>
      <c r="G16" s="57"/>
      <c r="H16" s="57"/>
      <c r="I16" s="58"/>
      <c r="J16" s="58"/>
      <c r="K16" s="58"/>
      <c r="N16" s="63">
        <v>5</v>
      </c>
      <c r="O16" s="64">
        <v>0</v>
      </c>
      <c r="P16" s="65">
        <f>R7*O16</f>
        <v>0</v>
      </c>
      <c r="Q16" s="63"/>
      <c r="R16" s="64">
        <v>0</v>
      </c>
      <c r="S16" s="65">
        <f>R7*R16</f>
        <v>0</v>
      </c>
    </row>
    <row r="17" spans="1:19" ht="15.75">
      <c r="A17" s="56"/>
      <c r="B17" s="57"/>
      <c r="C17" s="57"/>
      <c r="D17" s="57"/>
      <c r="E17" s="57"/>
      <c r="F17" s="57"/>
      <c r="G17" s="57"/>
      <c r="H17" s="57"/>
      <c r="I17" s="58"/>
      <c r="J17" s="58"/>
      <c r="K17" s="58"/>
      <c r="N17" s="63">
        <v>6</v>
      </c>
      <c r="O17" s="64">
        <v>0</v>
      </c>
      <c r="P17" s="65">
        <f>R7*O17</f>
        <v>0</v>
      </c>
      <c r="Q17" s="63"/>
      <c r="R17" s="64">
        <v>0</v>
      </c>
      <c r="S17" s="65">
        <f>R7*R17</f>
        <v>0</v>
      </c>
    </row>
    <row r="18" spans="1:19" ht="15.75">
      <c r="A18" s="56"/>
      <c r="B18" s="57"/>
      <c r="C18" s="57"/>
      <c r="D18" s="57"/>
      <c r="E18" s="57"/>
      <c r="F18" s="57"/>
      <c r="G18" s="57"/>
      <c r="H18" s="57"/>
      <c r="I18" s="58"/>
      <c r="J18" s="58"/>
      <c r="K18" s="58"/>
      <c r="N18" s="63">
        <v>7</v>
      </c>
      <c r="O18" s="64">
        <v>0</v>
      </c>
      <c r="P18" s="65">
        <f>R7*O18</f>
        <v>0</v>
      </c>
      <c r="Q18" s="63"/>
      <c r="R18" s="64">
        <v>0</v>
      </c>
      <c r="S18" s="65">
        <f>R7*R18</f>
        <v>0</v>
      </c>
    </row>
    <row r="19" spans="1:19" ht="15.75">
      <c r="A19" s="56"/>
      <c r="B19" s="57"/>
      <c r="C19" s="57"/>
      <c r="D19" s="57"/>
      <c r="E19" s="57"/>
      <c r="F19" s="57"/>
      <c r="G19" s="57"/>
      <c r="H19" s="57"/>
      <c r="I19" s="58"/>
      <c r="J19" s="58"/>
      <c r="K19" s="58"/>
      <c r="N19" s="63">
        <v>8</v>
      </c>
      <c r="O19" s="64">
        <v>30</v>
      </c>
      <c r="P19" s="65">
        <f>R7*O19</f>
        <v>425.17147892757646</v>
      </c>
      <c r="Q19" s="63"/>
      <c r="R19" s="64">
        <v>0</v>
      </c>
      <c r="S19" s="65">
        <f>R7*R19</f>
        <v>0</v>
      </c>
    </row>
    <row r="20" spans="1:19" ht="15.75">
      <c r="A20" s="56"/>
      <c r="B20" s="57"/>
      <c r="C20" s="57"/>
      <c r="D20" s="57"/>
      <c r="E20" s="57"/>
      <c r="F20" s="57"/>
      <c r="G20" s="57"/>
      <c r="H20" s="57"/>
      <c r="I20" s="58"/>
      <c r="J20" s="58"/>
      <c r="K20" s="58"/>
      <c r="N20" s="63">
        <v>9</v>
      </c>
      <c r="O20" s="64">
        <v>50</v>
      </c>
      <c r="P20" s="65">
        <f>R7*O20</f>
        <v>708.61913154596084</v>
      </c>
      <c r="Q20" s="63"/>
      <c r="R20" s="64">
        <v>0</v>
      </c>
      <c r="S20" s="65">
        <f>R7*R20</f>
        <v>0</v>
      </c>
    </row>
    <row r="21" spans="1:19" ht="15.75" customHeight="1">
      <c r="A21" s="56"/>
      <c r="B21" s="57"/>
      <c r="C21" s="57"/>
      <c r="D21" s="57"/>
      <c r="E21" s="57"/>
      <c r="F21" s="57"/>
      <c r="G21" s="57"/>
      <c r="H21" s="57"/>
      <c r="I21" s="58"/>
      <c r="J21" s="58"/>
      <c r="K21" s="58"/>
      <c r="N21" s="68" t="s">
        <v>53</v>
      </c>
      <c r="O21" s="64">
        <v>50</v>
      </c>
      <c r="P21" s="65">
        <f>R7*O21</f>
        <v>708.61913154596084</v>
      </c>
      <c r="Q21" s="63"/>
      <c r="R21" s="64"/>
      <c r="S21" s="65">
        <f>R7*R21</f>
        <v>0</v>
      </c>
    </row>
    <row r="22" spans="1:19" ht="15.75" customHeight="1">
      <c r="A22" s="56"/>
      <c r="B22" s="57"/>
      <c r="C22" s="57"/>
      <c r="D22" s="57"/>
      <c r="E22" s="57"/>
      <c r="F22" s="57"/>
      <c r="G22" s="57"/>
      <c r="H22" s="57"/>
      <c r="I22" s="58"/>
      <c r="J22" s="58"/>
      <c r="K22" s="58"/>
      <c r="N22" s="59" t="s">
        <v>59</v>
      </c>
      <c r="O22" s="69">
        <f>P8-O12-O13-O14-O15-O16-O17-O18-O19-O20-O21</f>
        <v>-68.211016629273502</v>
      </c>
      <c r="P22" s="69">
        <f>Q8-P12-P13-P14-P15-P16-P17-P18-P19-P20-P21</f>
        <v>-966.71262731405773</v>
      </c>
      <c r="Q22" s="59" t="s">
        <v>59</v>
      </c>
      <c r="R22" s="69">
        <f>P8-R12-R13-R14-R15-R16-R17-R18-R19-R20-R21</f>
        <v>-60.211016629273509</v>
      </c>
      <c r="S22" s="69">
        <f>Q8-S12-S13-S14-S15-S16-S17-S18-S19-S20-S21</f>
        <v>-853.33356626670388</v>
      </c>
    </row>
    <row r="23" spans="1:19" ht="15.75" customHeight="1">
      <c r="A23" s="56"/>
      <c r="B23" s="57"/>
      <c r="C23" s="57"/>
      <c r="D23" s="57"/>
      <c r="E23" s="57"/>
      <c r="F23" s="57"/>
      <c r="G23" s="57"/>
      <c r="H23" s="57"/>
      <c r="I23" s="58"/>
      <c r="J23" s="58"/>
      <c r="K23" s="58"/>
      <c r="N23" s="59" t="s">
        <v>60</v>
      </c>
      <c r="O23" s="62">
        <f>O12+O13+O14+O15+O16+O17+O18+O19+O20+O21</f>
        <v>130</v>
      </c>
      <c r="P23" s="62">
        <f>P12+P13+P14+P15+P16+P17+P18+P19+P20+P21</f>
        <v>1842.409742019498</v>
      </c>
      <c r="Q23" s="59" t="s">
        <v>60</v>
      </c>
      <c r="R23" s="62">
        <f>R12+R13+R14+R15+R16+R17+R18+R19+R20+R21</f>
        <v>122</v>
      </c>
      <c r="S23" s="62">
        <f>S12+S13+S14+S15+S16+S17+S18+S19+S20+S21</f>
        <v>1729.0306809721442</v>
      </c>
    </row>
    <row r="24" spans="1:19" ht="15" customHeight="1">
      <c r="A24" s="56"/>
      <c r="B24" s="57"/>
      <c r="C24" s="57"/>
      <c r="D24" s="57"/>
      <c r="E24" s="57"/>
      <c r="F24" s="57"/>
      <c r="G24" s="57"/>
      <c r="H24" s="57"/>
      <c r="I24" s="58"/>
      <c r="J24" s="58"/>
      <c r="K24" s="58"/>
    </row>
    <row r="25" spans="1:19" ht="15" customHeight="1">
      <c r="A25" s="56"/>
      <c r="B25" s="57"/>
      <c r="C25" s="57"/>
      <c r="D25" s="57"/>
      <c r="E25" s="57"/>
      <c r="F25" s="57"/>
      <c r="G25" s="57"/>
      <c r="H25" s="57"/>
      <c r="I25" s="58"/>
      <c r="J25" s="58"/>
      <c r="K25" s="58"/>
    </row>
    <row r="26" spans="1:19" ht="15" customHeight="1">
      <c r="A26" s="56"/>
      <c r="B26" s="57"/>
      <c r="C26" s="57"/>
      <c r="D26" s="57"/>
      <c r="E26" s="57"/>
      <c r="F26" s="57"/>
      <c r="G26" s="57"/>
      <c r="H26" s="57"/>
      <c r="I26" s="58"/>
      <c r="J26" s="58"/>
      <c r="K26" s="58"/>
    </row>
    <row r="27" spans="1:19" ht="15" customHeight="1">
      <c r="A27" s="56"/>
      <c r="B27" s="57"/>
      <c r="C27" s="57"/>
      <c r="D27" s="57"/>
      <c r="E27" s="57"/>
      <c r="F27" s="57"/>
      <c r="G27" s="57"/>
      <c r="H27" s="57"/>
      <c r="I27" s="58"/>
      <c r="J27" s="58"/>
      <c r="K27" s="58"/>
    </row>
    <row r="28" spans="1:19" ht="15" customHeight="1">
      <c r="A28" s="66"/>
      <c r="B28" s="67"/>
      <c r="C28" s="67"/>
      <c r="D28" s="67"/>
      <c r="E28" s="67"/>
      <c r="F28" s="67"/>
      <c r="G28" s="67"/>
      <c r="H28" s="67"/>
      <c r="I28" s="58"/>
      <c r="J28" s="58"/>
      <c r="K28" s="58"/>
    </row>
    <row r="29" spans="1:19" ht="15" customHeight="1">
      <c r="A29" s="66"/>
      <c r="B29" s="67"/>
      <c r="C29" s="67"/>
      <c r="D29" s="67"/>
      <c r="E29" s="67"/>
      <c r="F29" s="67"/>
      <c r="G29" s="67"/>
      <c r="H29" s="67"/>
      <c r="I29" s="58"/>
      <c r="J29" s="58"/>
      <c r="K29" s="58"/>
    </row>
    <row r="30" spans="1:19" ht="15" customHeight="1">
      <c r="A30" s="66"/>
      <c r="B30" s="67"/>
      <c r="C30" s="67"/>
      <c r="D30" s="67"/>
      <c r="E30" s="67"/>
      <c r="F30" s="67"/>
      <c r="G30" s="67"/>
      <c r="H30" s="67"/>
      <c r="I30" s="58"/>
      <c r="J30" s="58"/>
      <c r="K30" s="58"/>
    </row>
    <row r="31" spans="1:19" ht="15" customHeight="1">
      <c r="A31" s="66"/>
      <c r="B31" s="67"/>
      <c r="C31" s="67"/>
      <c r="D31" s="67"/>
      <c r="E31" s="67"/>
      <c r="F31" s="67"/>
      <c r="G31" s="67"/>
      <c r="H31" s="67"/>
      <c r="I31" s="58"/>
      <c r="J31" s="58"/>
      <c r="K31" s="58"/>
    </row>
    <row r="32" spans="1:19" ht="15" customHeight="1">
      <c r="A32" s="66"/>
      <c r="B32" s="67"/>
      <c r="C32" s="67"/>
      <c r="D32" s="67"/>
      <c r="E32" s="67"/>
      <c r="F32" s="67"/>
      <c r="G32" s="67"/>
      <c r="H32" s="67"/>
      <c r="I32" s="58"/>
      <c r="J32" s="58"/>
      <c r="K32" s="58"/>
    </row>
    <row r="33" spans="1:11" ht="15" customHeight="1">
      <c r="A33" s="66"/>
      <c r="B33" s="67"/>
      <c r="C33" s="67"/>
      <c r="D33" s="67"/>
      <c r="E33" s="67"/>
      <c r="F33" s="67"/>
      <c r="G33" s="67"/>
      <c r="H33" s="67"/>
      <c r="I33" s="58"/>
      <c r="J33" s="70"/>
      <c r="K33" s="58"/>
    </row>
    <row r="34" spans="1:11" ht="15" customHeight="1">
      <c r="A34" s="66"/>
      <c r="B34" s="67"/>
      <c r="C34" s="67"/>
      <c r="D34" s="67"/>
      <c r="E34" s="67"/>
      <c r="F34" s="67"/>
      <c r="G34" s="67"/>
      <c r="H34" s="67"/>
      <c r="I34" s="58"/>
      <c r="J34" s="70"/>
      <c r="K34" s="70"/>
    </row>
    <row r="35" spans="1:11" ht="15" customHeight="1">
      <c r="A35" s="66"/>
      <c r="B35" s="67"/>
      <c r="C35" s="67"/>
      <c r="D35" s="67"/>
      <c r="E35" s="67"/>
      <c r="F35" s="67"/>
      <c r="G35" s="67"/>
      <c r="H35" s="67"/>
      <c r="I35" s="58"/>
      <c r="J35" s="70"/>
      <c r="K35" s="70"/>
    </row>
    <row r="36" spans="1:11" ht="15" customHeight="1">
      <c r="A36" s="66"/>
      <c r="B36" s="67"/>
      <c r="C36" s="67"/>
      <c r="D36" s="67"/>
      <c r="E36" s="67"/>
      <c r="F36" s="67"/>
      <c r="G36" s="67"/>
      <c r="H36" s="67"/>
      <c r="I36" s="58"/>
      <c r="J36" s="70"/>
      <c r="K36" s="70"/>
    </row>
    <row r="37" spans="1:11" ht="15" customHeight="1">
      <c r="A37" s="66"/>
      <c r="B37" s="67"/>
      <c r="C37" s="67"/>
      <c r="D37" s="67"/>
      <c r="E37" s="67"/>
      <c r="F37" s="67"/>
      <c r="G37" s="67"/>
      <c r="H37" s="67"/>
      <c r="I37" s="58"/>
      <c r="J37" s="70"/>
      <c r="K37" s="70"/>
    </row>
    <row r="38" spans="1:11" ht="15" customHeight="1">
      <c r="A38" s="66"/>
      <c r="B38" s="67"/>
      <c r="C38" s="67"/>
      <c r="D38" s="67"/>
      <c r="E38" s="67"/>
      <c r="F38" s="67"/>
      <c r="G38" s="67"/>
      <c r="H38" s="67"/>
      <c r="I38" s="58"/>
      <c r="J38" s="70"/>
      <c r="K38" s="70"/>
    </row>
    <row r="39" spans="1:11" ht="15" customHeight="1">
      <c r="A39" s="66"/>
      <c r="B39" s="67"/>
      <c r="C39" s="67"/>
      <c r="D39" s="67"/>
      <c r="E39" s="67"/>
      <c r="F39" s="67"/>
      <c r="G39" s="67"/>
      <c r="H39" s="67"/>
      <c r="I39" s="58"/>
      <c r="J39" s="70"/>
      <c r="K39" s="70"/>
    </row>
    <row r="40" spans="1:11" ht="15" customHeight="1">
      <c r="A40" s="66"/>
      <c r="B40" s="67"/>
      <c r="C40" s="67"/>
      <c r="D40" s="67"/>
      <c r="E40" s="67"/>
      <c r="F40" s="67"/>
      <c r="G40" s="67"/>
      <c r="H40" s="67"/>
      <c r="I40" s="58"/>
      <c r="J40" s="70"/>
      <c r="K40" s="70"/>
    </row>
    <row r="41" spans="1:11" ht="15" customHeight="1">
      <c r="A41" s="66"/>
      <c r="B41" s="67"/>
      <c r="C41" s="67"/>
      <c r="D41" s="67"/>
      <c r="E41" s="67"/>
      <c r="F41" s="67"/>
      <c r="G41" s="67"/>
      <c r="H41" s="67"/>
      <c r="I41" s="58"/>
      <c r="J41" s="70"/>
      <c r="K41" s="70"/>
    </row>
    <row r="42" spans="1:11" ht="15" customHeight="1">
      <c r="A42" s="66"/>
      <c r="B42" s="67"/>
      <c r="C42" s="67"/>
      <c r="D42" s="67"/>
      <c r="E42" s="67"/>
      <c r="F42" s="67"/>
      <c r="G42" s="67"/>
      <c r="H42" s="67"/>
      <c r="I42" s="58"/>
      <c r="J42" s="70"/>
      <c r="K42" s="70"/>
    </row>
    <row r="43" spans="1:11" ht="15" customHeight="1">
      <c r="A43" s="66"/>
      <c r="B43" s="67"/>
      <c r="C43" s="67"/>
      <c r="D43" s="67"/>
      <c r="E43" s="67"/>
      <c r="F43" s="67"/>
      <c r="G43" s="67"/>
      <c r="H43" s="67"/>
      <c r="I43" s="58"/>
      <c r="J43" s="70"/>
      <c r="K43" s="70"/>
    </row>
    <row r="44" spans="1:11" ht="15" customHeight="1">
      <c r="A44" s="66"/>
      <c r="B44" s="67"/>
      <c r="C44" s="67"/>
      <c r="D44" s="67"/>
      <c r="E44" s="67"/>
      <c r="F44" s="67"/>
      <c r="G44" s="67"/>
      <c r="H44" s="67"/>
      <c r="I44" s="58"/>
      <c r="J44" s="70"/>
      <c r="K44" s="70"/>
    </row>
    <row r="45" spans="1:11" ht="15" customHeight="1">
      <c r="A45" s="66"/>
      <c r="B45" s="67"/>
      <c r="C45" s="67"/>
      <c r="D45" s="67"/>
      <c r="E45" s="67"/>
      <c r="F45" s="67"/>
      <c r="G45" s="67"/>
      <c r="H45" s="67"/>
      <c r="I45" s="70"/>
      <c r="J45" s="70"/>
      <c r="K45" s="70"/>
    </row>
    <row r="46" spans="1:11" ht="15" customHeight="1">
      <c r="A46" s="66"/>
      <c r="B46" s="67"/>
      <c r="C46" s="67"/>
      <c r="D46" s="67"/>
      <c r="E46" s="67"/>
      <c r="F46" s="67"/>
      <c r="G46" s="67"/>
      <c r="H46" s="67"/>
      <c r="I46" s="70"/>
      <c r="J46" s="70"/>
      <c r="K46" s="70"/>
    </row>
    <row r="47" spans="1:11" ht="15" customHeight="1">
      <c r="A47" s="66"/>
      <c r="B47" s="67"/>
      <c r="C47" s="67"/>
      <c r="D47" s="67"/>
      <c r="E47" s="67"/>
      <c r="F47" s="67"/>
      <c r="G47" s="67"/>
      <c r="H47" s="67"/>
      <c r="I47" s="70"/>
      <c r="J47" s="70"/>
      <c r="K47" s="70"/>
    </row>
    <row r="48" spans="1:11" ht="15" customHeight="1">
      <c r="A48" s="66"/>
      <c r="B48" s="67"/>
      <c r="C48" s="67"/>
      <c r="D48" s="67"/>
      <c r="E48" s="67"/>
      <c r="F48" s="67"/>
      <c r="G48" s="67"/>
      <c r="H48" s="67"/>
      <c r="I48" s="70"/>
      <c r="J48" s="70"/>
      <c r="K48" s="70"/>
    </row>
    <row r="49" spans="1:19" ht="15" customHeight="1">
      <c r="A49" s="66"/>
      <c r="B49" s="67"/>
      <c r="C49" s="67"/>
      <c r="D49" s="67"/>
      <c r="E49" s="67"/>
      <c r="F49" s="67"/>
      <c r="G49" s="67"/>
      <c r="H49" s="67"/>
      <c r="I49" s="70"/>
      <c r="J49" s="70"/>
      <c r="K49" s="70"/>
    </row>
    <row r="50" spans="1:19" ht="15" customHeight="1">
      <c r="A50" s="66"/>
      <c r="B50" s="67"/>
      <c r="C50" s="67"/>
      <c r="D50" s="67"/>
      <c r="E50" s="67"/>
      <c r="F50" s="67"/>
      <c r="G50" s="67"/>
      <c r="H50" s="67"/>
      <c r="I50" s="70"/>
      <c r="J50" s="70"/>
      <c r="K50" s="70"/>
    </row>
    <row r="51" spans="1:19" ht="15" customHeight="1">
      <c r="A51" s="66"/>
      <c r="B51" s="67"/>
      <c r="C51" s="67"/>
      <c r="D51" s="67"/>
      <c r="E51" s="67"/>
      <c r="F51" s="67"/>
      <c r="G51" s="67"/>
      <c r="H51" s="67"/>
      <c r="I51" s="70"/>
      <c r="J51" s="70"/>
      <c r="K51" s="70"/>
    </row>
    <row r="52" spans="1:19" ht="15" customHeight="1">
      <c r="A52" s="66"/>
      <c r="B52" s="67"/>
      <c r="C52" s="67"/>
      <c r="D52" s="67"/>
      <c r="E52" s="67"/>
      <c r="F52" s="67"/>
      <c r="G52" s="67"/>
      <c r="H52" s="67"/>
      <c r="I52" s="70"/>
      <c r="J52" s="70"/>
      <c r="K52" s="70"/>
    </row>
    <row r="53" spans="1:19" ht="15" customHeight="1">
      <c r="A53" s="66"/>
      <c r="B53" s="67"/>
      <c r="C53" s="67"/>
      <c r="D53" s="67"/>
      <c r="E53" s="67"/>
      <c r="F53" s="67"/>
      <c r="G53" s="67"/>
      <c r="H53" s="67"/>
      <c r="I53" s="70"/>
      <c r="J53" s="70"/>
      <c r="K53" s="70"/>
    </row>
    <row r="54" spans="1:19" ht="15" customHeight="1">
      <c r="A54" s="66"/>
      <c r="B54" s="67"/>
      <c r="C54" s="67"/>
      <c r="D54" s="67"/>
      <c r="E54" s="67"/>
      <c r="F54" s="67"/>
      <c r="G54" s="67"/>
      <c r="H54" s="67"/>
      <c r="I54" s="70"/>
      <c r="J54" s="70"/>
      <c r="K54" s="70"/>
    </row>
    <row r="55" spans="1:19" ht="15" customHeight="1">
      <c r="A55" s="67"/>
      <c r="B55" s="67"/>
      <c r="C55" s="67"/>
      <c r="D55" s="67"/>
      <c r="E55" s="67"/>
      <c r="F55" s="67"/>
      <c r="G55" s="67"/>
      <c r="H55" s="67"/>
      <c r="I55" s="70"/>
      <c r="J55" s="70"/>
      <c r="K55" s="70"/>
      <c r="N55" s="67"/>
      <c r="O55" s="67"/>
      <c r="P55" s="67"/>
      <c r="Q55" s="67"/>
      <c r="R55" s="67"/>
      <c r="S55" s="67"/>
    </row>
    <row r="56" spans="1:19" ht="15" customHeight="1">
      <c r="A56" s="67"/>
      <c r="B56" s="67"/>
      <c r="C56" s="67"/>
      <c r="D56" s="67"/>
      <c r="E56" s="67"/>
      <c r="F56" s="67"/>
      <c r="G56" s="67"/>
      <c r="H56" s="67"/>
      <c r="I56" s="58"/>
      <c r="J56" s="70"/>
      <c r="K56" s="70"/>
      <c r="N56" s="72"/>
      <c r="O56" s="72"/>
      <c r="P56" s="72"/>
      <c r="Q56" s="72"/>
      <c r="R56" s="72"/>
      <c r="S56" s="72"/>
    </row>
    <row r="57" spans="1:19" ht="15" customHeight="1">
      <c r="I57" s="71"/>
    </row>
    <row r="58" spans="1:19" ht="15.75" customHeight="1"/>
    <row r="59" spans="1:19" ht="15.75" customHeight="1"/>
    <row r="60" spans="1:19" ht="15.75" customHeight="1"/>
    <row r="61" spans="1:19" ht="15.75" customHeight="1"/>
    <row r="62" spans="1:19" ht="15.75" customHeight="1"/>
    <row r="63" spans="1:19" ht="15.75" customHeight="1"/>
    <row r="64" spans="1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algorithmName="SHA-512" hashValue="pGgnEYnZ5B6w0NPTpw5tMpe28UTVTYHOSCeFLmBq3UHyufNBay6a9CQ2aw5BZITpFCpvlMwmSeTuS+rTN80Nvw==" saltValue="KHTquH51YmduGhVbiXUvfw==" spinCount="100000" sheet="1" objects="1" scenarios="1"/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orientation="landscape"/>
</worksheet>
</file>

<file path=xl/worksheets/sheet87.xml><?xml version="1.0" encoding="utf-8"?>
<worksheet xmlns="http://schemas.openxmlformats.org/spreadsheetml/2006/main" xmlns:r="http://schemas.openxmlformats.org/officeDocument/2006/relationships">
  <sheetPr codeName="Лист56"/>
  <dimension ref="A1:S53"/>
  <sheetViews>
    <sheetView workbookViewId="0">
      <selection activeCell="K4" sqref="K4"/>
    </sheetView>
  </sheetViews>
  <sheetFormatPr defaultRowHeight="15"/>
  <cols>
    <col min="1" max="1" width="10.140625" style="49" bestFit="1" customWidth="1"/>
    <col min="2" max="16384" width="9.140625" style="49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109</v>
      </c>
    </row>
    <row r="3" spans="1:19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9">
      <c r="A4" s="73" t="s">
        <v>66</v>
      </c>
      <c r="B4" s="73" t="s">
        <v>106</v>
      </c>
      <c r="C4" s="510">
        <f>AVERAGEA(I7:I53)</f>
        <v>0.73513021555578018</v>
      </c>
      <c r="D4" s="511"/>
      <c r="E4" s="510">
        <f>AVERAGEA(J7:J53)</f>
        <v>13.262528791274496</v>
      </c>
      <c r="F4" s="511"/>
      <c r="G4" s="510">
        <f>AVERAGEA(K7:K53)</f>
        <v>2.0286172276342658</v>
      </c>
      <c r="H4" s="511"/>
      <c r="I4" s="74">
        <f>C4*K2</f>
        <v>80.12919349558004</v>
      </c>
      <c r="J4" s="74">
        <f>I4*E4</f>
        <v>1062.7157357567353</v>
      </c>
      <c r="K4" s="74">
        <f>K2*G4</f>
        <v>221.11927781213498</v>
      </c>
    </row>
    <row r="5" spans="1:19" ht="15" customHeight="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20"/>
      <c r="B6" s="520"/>
      <c r="C6" s="520"/>
      <c r="D6" s="520"/>
      <c r="E6" s="520"/>
      <c r="F6" s="54" t="s">
        <v>20</v>
      </c>
      <c r="G6" s="55" t="s">
        <v>21</v>
      </c>
      <c r="H6" s="520"/>
      <c r="I6" s="520"/>
      <c r="J6" s="520"/>
      <c r="K6" s="520"/>
      <c r="N6" s="520"/>
      <c r="O6" s="520"/>
      <c r="P6" s="520"/>
      <c r="Q6" s="520"/>
      <c r="R6" s="520"/>
      <c r="S6" s="520"/>
    </row>
    <row r="7" spans="1:19" ht="15.75">
      <c r="A7" s="56">
        <v>45170</v>
      </c>
      <c r="B7" s="57" t="s">
        <v>107</v>
      </c>
      <c r="C7" s="57" t="s">
        <v>65</v>
      </c>
      <c r="D7" s="57">
        <v>88</v>
      </c>
      <c r="E7" s="57">
        <v>17</v>
      </c>
      <c r="F7" s="57">
        <v>69</v>
      </c>
      <c r="G7" s="57">
        <v>942</v>
      </c>
      <c r="H7" s="57">
        <v>249</v>
      </c>
      <c r="I7" s="58">
        <f t="shared" ref="I7:I13" si="0">F7/(D7+E7)</f>
        <v>0.65714285714285714</v>
      </c>
      <c r="J7" s="58">
        <f t="shared" ref="J7:J13" si="1">G7/F7</f>
        <v>13.652173913043478</v>
      </c>
      <c r="K7" s="58">
        <f t="shared" ref="K7:K13" si="2">H7/(D7+E7)</f>
        <v>2.3714285714285714</v>
      </c>
      <c r="N7" s="59" t="s">
        <v>49</v>
      </c>
      <c r="O7" s="60">
        <f>K2</f>
        <v>109</v>
      </c>
      <c r="P7" s="61">
        <f>I4</f>
        <v>80.12919349558004</v>
      </c>
      <c r="Q7" s="61">
        <f>J4</f>
        <v>1062.7157357567353</v>
      </c>
      <c r="R7" s="539">
        <f>Q7/P7</f>
        <v>13.262528791274494</v>
      </c>
      <c r="S7" s="539">
        <f>P7/O7</f>
        <v>0.73513021555578018</v>
      </c>
    </row>
    <row r="8" spans="1:19" ht="15.75">
      <c r="A8" s="56">
        <v>45174</v>
      </c>
      <c r="B8" s="57">
        <v>443</v>
      </c>
      <c r="C8" s="57" t="s">
        <v>61</v>
      </c>
      <c r="D8" s="57">
        <v>183</v>
      </c>
      <c r="E8" s="57">
        <v>27</v>
      </c>
      <c r="F8" s="57">
        <v>124</v>
      </c>
      <c r="G8" s="57">
        <v>1540</v>
      </c>
      <c r="H8" s="57">
        <v>555</v>
      </c>
      <c r="I8" s="58">
        <f t="shared" si="0"/>
        <v>0.59047619047619049</v>
      </c>
      <c r="J8" s="58">
        <f t="shared" si="1"/>
        <v>12.419354838709678</v>
      </c>
      <c r="K8" s="58">
        <f t="shared" si="2"/>
        <v>2.6428571428571428</v>
      </c>
      <c r="N8" s="59" t="s">
        <v>50</v>
      </c>
      <c r="O8" s="60">
        <f>O7</f>
        <v>109</v>
      </c>
      <c r="P8" s="62">
        <f>O8*S7</f>
        <v>80.12919349558004</v>
      </c>
      <c r="Q8" s="62">
        <f>P8*R7</f>
        <v>1062.7157357567353</v>
      </c>
      <c r="R8" s="520"/>
      <c r="S8" s="520"/>
    </row>
    <row r="9" spans="1:19">
      <c r="A9" s="56">
        <v>45177</v>
      </c>
      <c r="B9" s="57" t="s">
        <v>107</v>
      </c>
      <c r="C9" s="57" t="s">
        <v>65</v>
      </c>
      <c r="D9" s="57">
        <v>97</v>
      </c>
      <c r="E9" s="57">
        <v>13</v>
      </c>
      <c r="F9" s="57">
        <v>78</v>
      </c>
      <c r="G9" s="57">
        <v>1073</v>
      </c>
      <c r="H9" s="57">
        <v>118</v>
      </c>
      <c r="I9" s="58">
        <f t="shared" si="0"/>
        <v>0.70909090909090911</v>
      </c>
      <c r="J9" s="58">
        <f t="shared" si="1"/>
        <v>13.756410256410257</v>
      </c>
      <c r="K9" s="58">
        <f t="shared" si="2"/>
        <v>1.0727272727272728</v>
      </c>
      <c r="N9" s="521" t="s">
        <v>51</v>
      </c>
      <c r="O9" s="516"/>
      <c r="P9" s="516"/>
      <c r="Q9" s="516"/>
      <c r="R9" s="516"/>
      <c r="S9" s="511"/>
    </row>
    <row r="10" spans="1:19">
      <c r="A10" s="56">
        <v>45181</v>
      </c>
      <c r="B10" s="57" t="s">
        <v>107</v>
      </c>
      <c r="C10" s="57" t="s">
        <v>65</v>
      </c>
      <c r="D10" s="57">
        <v>98</v>
      </c>
      <c r="E10" s="57">
        <v>10</v>
      </c>
      <c r="F10" s="57">
        <v>72</v>
      </c>
      <c r="G10" s="57">
        <v>919</v>
      </c>
      <c r="H10" s="57">
        <v>259</v>
      </c>
      <c r="I10" s="58">
        <f t="shared" si="0"/>
        <v>0.66666666666666663</v>
      </c>
      <c r="J10" s="58">
        <f t="shared" si="1"/>
        <v>12.763888888888889</v>
      </c>
      <c r="K10" s="58">
        <f t="shared" si="2"/>
        <v>2.3981481481481484</v>
      </c>
      <c r="N10" s="521" t="s">
        <v>52</v>
      </c>
      <c r="O10" s="516"/>
      <c r="P10" s="511"/>
      <c r="Q10" s="521" t="s">
        <v>53</v>
      </c>
      <c r="R10" s="516"/>
      <c r="S10" s="511"/>
    </row>
    <row r="11" spans="1:19">
      <c r="A11" s="56">
        <v>45185</v>
      </c>
      <c r="B11" s="57" t="s">
        <v>107</v>
      </c>
      <c r="C11" s="57" t="s">
        <v>65</v>
      </c>
      <c r="D11" s="57">
        <v>111</v>
      </c>
      <c r="E11" s="57">
        <v>8</v>
      </c>
      <c r="F11" s="57">
        <v>93</v>
      </c>
      <c r="G11" s="57">
        <v>1233</v>
      </c>
      <c r="H11" s="57">
        <v>221</v>
      </c>
      <c r="I11" s="58">
        <f t="shared" si="0"/>
        <v>0.78151260504201681</v>
      </c>
      <c r="J11" s="58">
        <f t="shared" si="1"/>
        <v>13.258064516129032</v>
      </c>
      <c r="K11" s="58">
        <f t="shared" si="2"/>
        <v>1.8571428571428572</v>
      </c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.75">
      <c r="A12" s="56">
        <v>45188</v>
      </c>
      <c r="B12" s="57" t="s">
        <v>107</v>
      </c>
      <c r="C12" s="57" t="s">
        <v>65</v>
      </c>
      <c r="D12" s="57">
        <v>97</v>
      </c>
      <c r="E12" s="57">
        <v>8</v>
      </c>
      <c r="F12" s="57">
        <v>99</v>
      </c>
      <c r="G12" s="57">
        <v>1337</v>
      </c>
      <c r="H12" s="57">
        <v>145</v>
      </c>
      <c r="I12" s="58">
        <f t="shared" si="0"/>
        <v>0.94285714285714284</v>
      </c>
      <c r="J12" s="58">
        <f t="shared" si="1"/>
        <v>13.505050505050505</v>
      </c>
      <c r="K12" s="58">
        <f t="shared" si="2"/>
        <v>1.3809523809523809</v>
      </c>
      <c r="N12" s="63">
        <v>1</v>
      </c>
      <c r="O12" s="64">
        <v>0</v>
      </c>
      <c r="P12" s="65">
        <f>O12*R7</f>
        <v>0</v>
      </c>
      <c r="Q12" s="63">
        <v>3</v>
      </c>
      <c r="R12" s="64">
        <v>35</v>
      </c>
      <c r="S12" s="65">
        <f>R12*R7</f>
        <v>464.18850769460732</v>
      </c>
    </row>
    <row r="13" spans="1:19" ht="15.75">
      <c r="A13" s="56">
        <v>45192</v>
      </c>
      <c r="B13" s="57" t="s">
        <v>107</v>
      </c>
      <c r="C13" s="57" t="s">
        <v>65</v>
      </c>
      <c r="D13" s="57">
        <v>100</v>
      </c>
      <c r="E13" s="57">
        <v>9</v>
      </c>
      <c r="F13" s="57">
        <v>87</v>
      </c>
      <c r="G13" s="57">
        <v>1173</v>
      </c>
      <c r="H13" s="57">
        <v>270</v>
      </c>
      <c r="I13" s="58">
        <f t="shared" si="0"/>
        <v>0.79816513761467889</v>
      </c>
      <c r="J13" s="58">
        <f t="shared" si="1"/>
        <v>13.482758620689655</v>
      </c>
      <c r="K13" s="58">
        <f t="shared" si="2"/>
        <v>2.477064220183486</v>
      </c>
      <c r="N13" s="63">
        <v>2</v>
      </c>
      <c r="O13" s="64">
        <v>0</v>
      </c>
      <c r="P13" s="65">
        <f>O13*R7</f>
        <v>0</v>
      </c>
      <c r="Q13" s="63">
        <v>4</v>
      </c>
      <c r="R13" s="64">
        <v>35</v>
      </c>
      <c r="S13" s="65">
        <f>R7*R13</f>
        <v>464.18850769460732</v>
      </c>
    </row>
    <row r="14" spans="1:19" ht="15.75">
      <c r="A14" s="56"/>
      <c r="B14" s="57"/>
      <c r="C14" s="57"/>
      <c r="D14" s="57"/>
      <c r="E14" s="57"/>
      <c r="F14" s="57"/>
      <c r="G14" s="57"/>
      <c r="H14" s="57"/>
      <c r="I14" s="58"/>
      <c r="J14" s="58"/>
      <c r="K14" s="58"/>
      <c r="N14" s="63">
        <v>3</v>
      </c>
      <c r="O14" s="64">
        <v>0</v>
      </c>
      <c r="P14" s="65">
        <f>R7*O14</f>
        <v>0</v>
      </c>
      <c r="Q14" s="63">
        <v>5</v>
      </c>
      <c r="R14" s="64">
        <v>10</v>
      </c>
      <c r="S14" s="65">
        <f>R14*R7</f>
        <v>132.62528791274494</v>
      </c>
    </row>
    <row r="15" spans="1:19" ht="15.75">
      <c r="A15" s="56"/>
      <c r="B15" s="57"/>
      <c r="C15" s="57"/>
      <c r="D15" s="57"/>
      <c r="E15" s="57"/>
      <c r="F15" s="57"/>
      <c r="G15" s="57"/>
      <c r="H15" s="57"/>
      <c r="I15" s="58"/>
      <c r="J15" s="58"/>
      <c r="K15" s="58"/>
      <c r="N15" s="63">
        <v>4</v>
      </c>
      <c r="O15" s="64">
        <v>0</v>
      </c>
      <c r="P15" s="65">
        <f>R7*O15</f>
        <v>0</v>
      </c>
      <c r="Q15" s="63">
        <v>1</v>
      </c>
      <c r="R15" s="64">
        <v>0</v>
      </c>
      <c r="S15" s="65">
        <f>R7*R15</f>
        <v>0</v>
      </c>
    </row>
    <row r="16" spans="1:19" ht="15.75">
      <c r="A16" s="56"/>
      <c r="B16" s="57"/>
      <c r="C16" s="57"/>
      <c r="D16" s="57"/>
      <c r="E16" s="57"/>
      <c r="F16" s="57"/>
      <c r="G16" s="57"/>
      <c r="H16" s="57"/>
      <c r="I16" s="58"/>
      <c r="J16" s="58"/>
      <c r="K16" s="58"/>
      <c r="N16" s="63">
        <v>5</v>
      </c>
      <c r="O16" s="64">
        <v>0</v>
      </c>
      <c r="P16" s="65">
        <f>R7*O16</f>
        <v>0</v>
      </c>
      <c r="Q16" s="63"/>
      <c r="R16" s="64">
        <v>0</v>
      </c>
      <c r="S16" s="65">
        <f>R7*R16</f>
        <v>0</v>
      </c>
    </row>
    <row r="17" spans="1:19" ht="15.75">
      <c r="A17" s="56"/>
      <c r="B17" s="57"/>
      <c r="C17" s="57"/>
      <c r="D17" s="57"/>
      <c r="E17" s="57"/>
      <c r="F17" s="57"/>
      <c r="G17" s="57"/>
      <c r="H17" s="57"/>
      <c r="I17" s="58"/>
      <c r="J17" s="58"/>
      <c r="K17" s="58"/>
      <c r="N17" s="63">
        <v>6</v>
      </c>
      <c r="O17" s="64">
        <v>0</v>
      </c>
      <c r="P17" s="65">
        <f>R7*O17</f>
        <v>0</v>
      </c>
      <c r="Q17" s="63"/>
      <c r="R17" s="64">
        <v>0</v>
      </c>
      <c r="S17" s="65">
        <f>R7*R17</f>
        <v>0</v>
      </c>
    </row>
    <row r="18" spans="1:19" ht="15.75">
      <c r="A18" s="56"/>
      <c r="B18" s="57"/>
      <c r="C18" s="57"/>
      <c r="D18" s="57"/>
      <c r="E18" s="57"/>
      <c r="F18" s="57"/>
      <c r="G18" s="57"/>
      <c r="H18" s="57"/>
      <c r="I18" s="58"/>
      <c r="J18" s="58"/>
      <c r="K18" s="58"/>
      <c r="N18" s="63">
        <v>7</v>
      </c>
      <c r="O18" s="64">
        <v>0</v>
      </c>
      <c r="P18" s="65">
        <f>R7*O18</f>
        <v>0</v>
      </c>
      <c r="Q18" s="63"/>
      <c r="R18" s="64">
        <v>0</v>
      </c>
      <c r="S18" s="65">
        <f>R7*R18</f>
        <v>0</v>
      </c>
    </row>
    <row r="19" spans="1:19" ht="15.75">
      <c r="A19" s="56"/>
      <c r="B19" s="57"/>
      <c r="C19" s="57"/>
      <c r="D19" s="57"/>
      <c r="E19" s="57"/>
      <c r="F19" s="57"/>
      <c r="G19" s="57"/>
      <c r="H19" s="57"/>
      <c r="I19" s="58"/>
      <c r="J19" s="58"/>
      <c r="K19" s="58"/>
      <c r="N19" s="63">
        <v>8</v>
      </c>
      <c r="O19" s="64">
        <v>0</v>
      </c>
      <c r="P19" s="65">
        <f>R7*O19</f>
        <v>0</v>
      </c>
      <c r="Q19" s="63"/>
      <c r="R19" s="64">
        <v>0</v>
      </c>
      <c r="S19" s="65">
        <f>R7*R19</f>
        <v>0</v>
      </c>
    </row>
    <row r="20" spans="1:19" ht="15.75">
      <c r="A20" s="56"/>
      <c r="B20" s="57"/>
      <c r="C20" s="57"/>
      <c r="D20" s="57"/>
      <c r="E20" s="57"/>
      <c r="F20" s="57"/>
      <c r="G20" s="57"/>
      <c r="H20" s="57"/>
      <c r="I20" s="58"/>
      <c r="J20" s="58"/>
      <c r="K20" s="58"/>
      <c r="N20" s="63">
        <v>9</v>
      </c>
      <c r="O20" s="64">
        <v>0</v>
      </c>
      <c r="P20" s="65">
        <f>R7*O20</f>
        <v>0</v>
      </c>
      <c r="Q20" s="63"/>
      <c r="R20" s="64">
        <v>0</v>
      </c>
      <c r="S20" s="65">
        <f>R7*R20</f>
        <v>0</v>
      </c>
    </row>
    <row r="21" spans="1:19" ht="15.75">
      <c r="A21" s="56"/>
      <c r="B21" s="57"/>
      <c r="C21" s="57"/>
      <c r="D21" s="57"/>
      <c r="E21" s="57"/>
      <c r="F21" s="57"/>
      <c r="G21" s="57"/>
      <c r="H21" s="57"/>
      <c r="I21" s="58"/>
      <c r="J21" s="58"/>
      <c r="K21" s="58"/>
      <c r="N21" s="68" t="s">
        <v>53</v>
      </c>
      <c r="O21" s="64">
        <v>0</v>
      </c>
      <c r="P21" s="65">
        <f>R7*O21</f>
        <v>0</v>
      </c>
      <c r="Q21" s="63"/>
      <c r="R21" s="64"/>
      <c r="S21" s="65">
        <f>R7*R21</f>
        <v>0</v>
      </c>
    </row>
    <row r="22" spans="1:19" ht="15.75">
      <c r="A22" s="56"/>
      <c r="B22" s="57"/>
      <c r="C22" s="57"/>
      <c r="D22" s="57"/>
      <c r="E22" s="57"/>
      <c r="F22" s="57"/>
      <c r="G22" s="57"/>
      <c r="H22" s="57"/>
      <c r="I22" s="58"/>
      <c r="J22" s="58"/>
      <c r="K22" s="58"/>
      <c r="N22" s="59" t="s">
        <v>59</v>
      </c>
      <c r="O22" s="69">
        <f>P8-O12-O13-O14-O15-O16-O17-O18-O19-O20-O21</f>
        <v>80.12919349558004</v>
      </c>
      <c r="P22" s="69">
        <f>Q8-P12-P13-P14-P15-P16-P17-P18-P19-P20-P21</f>
        <v>1062.7157357567353</v>
      </c>
      <c r="Q22" s="59" t="s">
        <v>59</v>
      </c>
      <c r="R22" s="69">
        <f>P8-R12-R13-R14-R15-R16-R17-R18-R19-R20-R21</f>
        <v>0.12919349558004001</v>
      </c>
      <c r="S22" s="69">
        <f>Q8-S12-S13-S14-S15-S16-S17-S18-S19-S20-S21</f>
        <v>1.7134324547756989</v>
      </c>
    </row>
    <row r="23" spans="1:19">
      <c r="A23" s="56"/>
      <c r="B23" s="57"/>
      <c r="C23" s="57"/>
      <c r="D23" s="57"/>
      <c r="E23" s="57"/>
      <c r="F23" s="57"/>
      <c r="G23" s="57"/>
      <c r="H23" s="57"/>
      <c r="I23" s="58"/>
      <c r="J23" s="58"/>
      <c r="K23" s="58"/>
      <c r="N23" s="59" t="s">
        <v>60</v>
      </c>
      <c r="O23" s="62">
        <f>O12+O13+O14+O15+O16+O17+O18+O19+O20+O21</f>
        <v>0</v>
      </c>
      <c r="P23" s="62">
        <f>P12+P13+P14+P15+P16+P17+P18+P19+P20+P21</f>
        <v>0</v>
      </c>
      <c r="Q23" s="59" t="s">
        <v>60</v>
      </c>
      <c r="R23" s="62">
        <f>R12+R13+R14+R15+R16+R17+R18+R19+R20+R21</f>
        <v>80</v>
      </c>
      <c r="S23" s="62">
        <f>S12+S13+S14+S15+S16+S17+S18+S19+S20+S21</f>
        <v>1061.0023033019595</v>
      </c>
    </row>
    <row r="24" spans="1:19">
      <c r="A24" s="56"/>
      <c r="B24" s="57"/>
      <c r="C24" s="57"/>
      <c r="D24" s="57"/>
      <c r="E24" s="57"/>
      <c r="F24" s="57"/>
      <c r="G24" s="57"/>
      <c r="H24" s="57"/>
      <c r="I24" s="58"/>
      <c r="J24" s="58"/>
      <c r="K24" s="58"/>
    </row>
    <row r="25" spans="1:19">
      <c r="A25" s="56"/>
      <c r="B25" s="57"/>
      <c r="C25" s="57"/>
      <c r="D25" s="57"/>
      <c r="E25" s="57"/>
      <c r="F25" s="57"/>
      <c r="G25" s="57"/>
      <c r="H25" s="57"/>
      <c r="I25" s="58"/>
      <c r="J25" s="58"/>
      <c r="K25" s="58"/>
    </row>
    <row r="26" spans="1:19">
      <c r="A26" s="56"/>
      <c r="B26" s="57"/>
      <c r="C26" s="57"/>
      <c r="D26" s="57"/>
      <c r="E26" s="57"/>
      <c r="F26" s="57"/>
      <c r="G26" s="57"/>
      <c r="H26" s="57"/>
      <c r="I26" s="58"/>
      <c r="J26" s="58"/>
      <c r="K26" s="58"/>
    </row>
    <row r="27" spans="1:19">
      <c r="A27" s="56"/>
      <c r="B27" s="57"/>
      <c r="C27" s="57"/>
      <c r="D27" s="57"/>
      <c r="E27" s="57"/>
      <c r="F27" s="57"/>
      <c r="G27" s="57"/>
      <c r="H27" s="57"/>
      <c r="I27" s="58"/>
      <c r="J27" s="58"/>
      <c r="K27" s="58"/>
    </row>
    <row r="28" spans="1:19">
      <c r="A28" s="56"/>
      <c r="B28" s="57"/>
      <c r="C28" s="57"/>
      <c r="D28" s="57"/>
      <c r="E28" s="57"/>
      <c r="F28" s="57"/>
      <c r="G28" s="57"/>
      <c r="H28" s="57"/>
      <c r="I28" s="58"/>
      <c r="J28" s="58"/>
      <c r="K28" s="58"/>
    </row>
    <row r="29" spans="1:19">
      <c r="A29" s="56"/>
      <c r="B29" s="57"/>
      <c r="C29" s="57"/>
      <c r="D29" s="57"/>
      <c r="E29" s="57"/>
      <c r="F29" s="57"/>
      <c r="G29" s="57"/>
      <c r="H29" s="57"/>
      <c r="I29" s="58"/>
      <c r="J29" s="58"/>
      <c r="K29" s="58"/>
    </row>
    <row r="30" spans="1:19">
      <c r="A30" s="56"/>
      <c r="B30" s="57"/>
      <c r="C30" s="57"/>
      <c r="D30" s="57"/>
      <c r="E30" s="57"/>
      <c r="F30" s="57"/>
      <c r="G30" s="57"/>
      <c r="H30" s="57"/>
      <c r="I30" s="58"/>
      <c r="J30" s="58"/>
      <c r="K30" s="58"/>
    </row>
    <row r="31" spans="1:19">
      <c r="A31" s="56"/>
      <c r="B31" s="57"/>
      <c r="C31" s="57"/>
      <c r="D31" s="57"/>
      <c r="E31" s="57"/>
      <c r="F31" s="57"/>
      <c r="G31" s="57"/>
      <c r="H31" s="57"/>
      <c r="I31" s="58"/>
      <c r="J31" s="58"/>
      <c r="K31" s="58"/>
    </row>
    <row r="32" spans="1:19">
      <c r="A32" s="56"/>
      <c r="B32" s="57"/>
      <c r="C32" s="57"/>
      <c r="D32" s="57"/>
      <c r="E32" s="57"/>
      <c r="F32" s="57"/>
      <c r="G32" s="57"/>
      <c r="H32" s="57"/>
      <c r="I32" s="58"/>
      <c r="J32" s="58"/>
      <c r="K32" s="58"/>
    </row>
    <row r="33" spans="1:11">
      <c r="A33" s="56"/>
      <c r="B33" s="57"/>
      <c r="C33" s="57"/>
      <c r="D33" s="57"/>
      <c r="E33" s="57"/>
      <c r="F33" s="57"/>
      <c r="G33" s="57"/>
      <c r="H33" s="57"/>
      <c r="I33" s="58"/>
      <c r="J33" s="70"/>
      <c r="K33" s="70"/>
    </row>
    <row r="34" spans="1:11">
      <c r="A34" s="56"/>
      <c r="B34" s="57"/>
      <c r="C34" s="57"/>
      <c r="D34" s="57"/>
      <c r="E34" s="57"/>
      <c r="F34" s="57"/>
      <c r="G34" s="57"/>
      <c r="H34" s="57"/>
      <c r="I34" s="58"/>
      <c r="J34" s="70"/>
      <c r="K34" s="70"/>
    </row>
    <row r="35" spans="1:11">
      <c r="A35" s="56"/>
      <c r="B35" s="57"/>
      <c r="C35" s="57"/>
      <c r="D35" s="57"/>
      <c r="E35" s="57"/>
      <c r="F35" s="57"/>
      <c r="G35" s="57"/>
      <c r="H35" s="57"/>
      <c r="I35" s="58"/>
      <c r="J35" s="70"/>
      <c r="K35" s="70"/>
    </row>
    <row r="36" spans="1:11">
      <c r="A36" s="56"/>
      <c r="B36" s="57"/>
      <c r="C36" s="57"/>
      <c r="D36" s="57"/>
      <c r="E36" s="57"/>
      <c r="F36" s="57"/>
      <c r="G36" s="57"/>
      <c r="H36" s="57"/>
      <c r="I36" s="58"/>
      <c r="J36" s="70"/>
      <c r="K36" s="70"/>
    </row>
    <row r="37" spans="1:11">
      <c r="A37" s="56"/>
      <c r="B37" s="57"/>
      <c r="C37" s="57"/>
      <c r="D37" s="57"/>
      <c r="E37" s="57"/>
      <c r="F37" s="57"/>
      <c r="G37" s="57"/>
      <c r="H37" s="57"/>
      <c r="I37" s="58"/>
      <c r="J37" s="70"/>
      <c r="K37" s="70"/>
    </row>
    <row r="38" spans="1:11">
      <c r="A38" s="56"/>
      <c r="B38" s="57"/>
      <c r="C38" s="57"/>
      <c r="D38" s="57"/>
      <c r="E38" s="57"/>
      <c r="F38" s="57"/>
      <c r="G38" s="57"/>
      <c r="H38" s="57"/>
      <c r="I38" s="58"/>
      <c r="J38" s="70"/>
      <c r="K38" s="70"/>
    </row>
    <row r="39" spans="1:11">
      <c r="A39" s="56"/>
      <c r="B39" s="57"/>
      <c r="C39" s="57"/>
      <c r="D39" s="57"/>
      <c r="E39" s="57"/>
      <c r="F39" s="57"/>
      <c r="G39" s="57"/>
      <c r="H39" s="57"/>
      <c r="I39" s="58"/>
      <c r="J39" s="70"/>
      <c r="K39" s="70"/>
    </row>
    <row r="40" spans="1:11">
      <c r="A40" s="56"/>
      <c r="B40" s="57"/>
      <c r="C40" s="57"/>
      <c r="D40" s="57"/>
      <c r="E40" s="57"/>
      <c r="F40" s="57"/>
      <c r="G40" s="57"/>
      <c r="H40" s="57"/>
      <c r="I40" s="58"/>
      <c r="J40" s="70"/>
      <c r="K40" s="70"/>
    </row>
    <row r="41" spans="1:11">
      <c r="A41" s="66"/>
      <c r="B41" s="67"/>
      <c r="C41" s="67"/>
      <c r="D41" s="67"/>
      <c r="E41" s="67"/>
      <c r="F41" s="67"/>
      <c r="G41" s="67"/>
      <c r="H41" s="67"/>
      <c r="I41" s="58"/>
      <c r="J41" s="70"/>
      <c r="K41" s="70"/>
    </row>
    <row r="42" spans="1:11">
      <c r="A42" s="66"/>
      <c r="B42" s="67"/>
      <c r="C42" s="67"/>
      <c r="D42" s="67"/>
      <c r="E42" s="67"/>
      <c r="F42" s="67"/>
      <c r="G42" s="67"/>
      <c r="H42" s="67"/>
      <c r="I42" s="70"/>
      <c r="J42" s="70"/>
      <c r="K42" s="70"/>
    </row>
    <row r="43" spans="1:11">
      <c r="A43" s="66"/>
      <c r="B43" s="67"/>
      <c r="C43" s="67"/>
      <c r="D43" s="67"/>
      <c r="E43" s="67"/>
      <c r="F43" s="67"/>
      <c r="G43" s="67"/>
      <c r="H43" s="67"/>
      <c r="I43" s="70"/>
      <c r="J43" s="70"/>
      <c r="K43" s="70"/>
    </row>
    <row r="44" spans="1:11">
      <c r="A44" s="66"/>
      <c r="B44" s="67"/>
      <c r="C44" s="67"/>
      <c r="D44" s="67"/>
      <c r="E44" s="67"/>
      <c r="F44" s="67"/>
      <c r="G44" s="67"/>
      <c r="H44" s="67"/>
      <c r="I44" s="70"/>
      <c r="J44" s="70"/>
      <c r="K44" s="70"/>
    </row>
    <row r="45" spans="1:11">
      <c r="A45" s="66"/>
      <c r="B45" s="67"/>
      <c r="C45" s="67"/>
      <c r="D45" s="67"/>
      <c r="E45" s="67"/>
      <c r="F45" s="67"/>
      <c r="G45" s="67"/>
      <c r="H45" s="67"/>
      <c r="I45" s="70"/>
      <c r="J45" s="70"/>
      <c r="K45" s="70"/>
    </row>
    <row r="46" spans="1:11">
      <c r="A46" s="66"/>
      <c r="B46" s="67"/>
      <c r="C46" s="67"/>
      <c r="D46" s="67"/>
      <c r="E46" s="67"/>
      <c r="F46" s="67"/>
      <c r="G46" s="67"/>
      <c r="H46" s="67"/>
      <c r="I46" s="70"/>
      <c r="J46" s="70"/>
      <c r="K46" s="70"/>
    </row>
    <row r="47" spans="1:11">
      <c r="A47" s="66"/>
      <c r="B47" s="67"/>
      <c r="C47" s="67"/>
      <c r="D47" s="67"/>
      <c r="E47" s="67"/>
      <c r="F47" s="67"/>
      <c r="G47" s="67"/>
      <c r="H47" s="67"/>
      <c r="I47" s="70"/>
      <c r="J47" s="70"/>
      <c r="K47" s="70"/>
    </row>
    <row r="48" spans="1:11">
      <c r="A48" s="66"/>
      <c r="B48" s="67"/>
      <c r="C48" s="67"/>
      <c r="D48" s="67"/>
      <c r="E48" s="67"/>
      <c r="F48" s="67"/>
      <c r="G48" s="67"/>
      <c r="H48" s="67"/>
      <c r="I48" s="70"/>
      <c r="J48" s="70"/>
      <c r="K48" s="70"/>
    </row>
    <row r="49" spans="1:11">
      <c r="A49" s="66"/>
      <c r="B49" s="67"/>
      <c r="C49" s="67"/>
      <c r="D49" s="67"/>
      <c r="E49" s="67"/>
      <c r="F49" s="67"/>
      <c r="G49" s="67"/>
      <c r="H49" s="67"/>
      <c r="I49" s="70"/>
      <c r="J49" s="70"/>
      <c r="K49" s="70"/>
    </row>
    <row r="50" spans="1:11">
      <c r="A50" s="66"/>
      <c r="B50" s="67"/>
      <c r="C50" s="67"/>
      <c r="D50" s="67"/>
      <c r="E50" s="67"/>
      <c r="F50" s="67"/>
      <c r="G50" s="67"/>
      <c r="H50" s="67"/>
      <c r="I50" s="70"/>
      <c r="J50" s="70"/>
      <c r="K50" s="70"/>
    </row>
    <row r="51" spans="1:11">
      <c r="A51" s="66"/>
      <c r="B51" s="67"/>
      <c r="C51" s="67"/>
      <c r="D51" s="67"/>
      <c r="E51" s="67"/>
      <c r="F51" s="67"/>
      <c r="G51" s="67"/>
      <c r="H51" s="67"/>
      <c r="I51" s="70"/>
      <c r="J51" s="70"/>
      <c r="K51" s="70"/>
    </row>
    <row r="52" spans="1:11">
      <c r="A52" s="67"/>
      <c r="B52" s="67"/>
      <c r="C52" s="67"/>
      <c r="D52" s="67"/>
      <c r="E52" s="67"/>
      <c r="F52" s="67"/>
      <c r="G52" s="67"/>
      <c r="H52" s="67"/>
      <c r="I52" s="70"/>
      <c r="J52" s="70"/>
      <c r="K52" s="70"/>
    </row>
    <row r="53" spans="1:11">
      <c r="A53" s="67"/>
      <c r="B53" s="67"/>
      <c r="C53" s="67"/>
      <c r="D53" s="67"/>
      <c r="E53" s="67"/>
      <c r="F53" s="67"/>
      <c r="G53" s="67"/>
      <c r="H53" s="67"/>
      <c r="I53" s="58"/>
      <c r="J53" s="70"/>
      <c r="K53" s="70"/>
    </row>
  </sheetData>
  <sheetProtection password="CC6F" sheet="1" objects="1" scenarios="1"/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sheetPr codeName="Лист57"/>
  <dimension ref="A1:S48"/>
  <sheetViews>
    <sheetView workbookViewId="0">
      <selection activeCell="A14" sqref="A14"/>
    </sheetView>
  </sheetViews>
  <sheetFormatPr defaultRowHeight="15"/>
  <cols>
    <col min="1" max="1" width="10.7109375" style="49" bestFit="1" customWidth="1"/>
    <col min="2" max="2" width="10.140625" style="49" bestFit="1" customWidth="1"/>
    <col min="3" max="16384" width="9.140625" style="49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217</v>
      </c>
    </row>
    <row r="3" spans="1:19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9">
      <c r="A4" s="73" t="s">
        <v>66</v>
      </c>
      <c r="B4" s="73" t="s">
        <v>108</v>
      </c>
      <c r="C4" s="510">
        <f>AVERAGEA(I7:I48)</f>
        <v>0.50530540677656521</v>
      </c>
      <c r="D4" s="511"/>
      <c r="E4" s="510">
        <f>AVERAGEA(J7:J48)</f>
        <v>13.616223777185088</v>
      </c>
      <c r="F4" s="511"/>
      <c r="G4" s="510">
        <f>AVERAGEA(K7:K48)</f>
        <v>1.4107385871930334</v>
      </c>
      <c r="H4" s="511"/>
      <c r="I4" s="74">
        <f>C4*K2</f>
        <v>109.65127327051465</v>
      </c>
      <c r="J4" s="74">
        <f>I4*E4</f>
        <v>1493.0362743046012</v>
      </c>
      <c r="K4" s="74">
        <f>K2*G4</f>
        <v>306.13027342088822</v>
      </c>
    </row>
    <row r="5" spans="1:19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20"/>
      <c r="B6" s="520"/>
      <c r="C6" s="520"/>
      <c r="D6" s="520"/>
      <c r="E6" s="520"/>
      <c r="F6" s="54" t="s">
        <v>20</v>
      </c>
      <c r="G6" s="55" t="s">
        <v>21</v>
      </c>
      <c r="H6" s="520"/>
      <c r="I6" s="520"/>
      <c r="J6" s="520"/>
      <c r="K6" s="520"/>
      <c r="N6" s="520"/>
      <c r="O6" s="520"/>
      <c r="P6" s="520"/>
      <c r="Q6" s="520"/>
      <c r="R6" s="520"/>
      <c r="S6" s="520"/>
    </row>
    <row r="7" spans="1:19" ht="15.75">
      <c r="A7" s="56">
        <v>46204</v>
      </c>
      <c r="B7" s="57" t="s">
        <v>144</v>
      </c>
      <c r="C7" s="57" t="s">
        <v>73</v>
      </c>
      <c r="D7" s="57">
        <v>108</v>
      </c>
      <c r="E7" s="57">
        <v>39</v>
      </c>
      <c r="F7" s="57">
        <v>78</v>
      </c>
      <c r="G7" s="57">
        <v>1036</v>
      </c>
      <c r="H7" s="57">
        <v>203</v>
      </c>
      <c r="I7" s="58">
        <f t="shared" ref="I7:I14" si="0">F7/(D7+E7)</f>
        <v>0.53061224489795922</v>
      </c>
      <c r="J7" s="58">
        <f t="shared" ref="J7:J14" si="1">G7/F7</f>
        <v>13.282051282051283</v>
      </c>
      <c r="K7" s="58">
        <f t="shared" ref="K7:K14" si="2">H7/(D7+E7)</f>
        <v>1.3809523809523809</v>
      </c>
      <c r="N7" s="59" t="s">
        <v>49</v>
      </c>
      <c r="O7" s="60">
        <f>K2</f>
        <v>217</v>
      </c>
      <c r="P7" s="61">
        <f>I4</f>
        <v>109.65127327051465</v>
      </c>
      <c r="Q7" s="61">
        <f>J4</f>
        <v>1493.0362743046012</v>
      </c>
      <c r="R7" s="539">
        <f>Q7/P7</f>
        <v>13.616223777185088</v>
      </c>
      <c r="S7" s="539">
        <f>P7/O7</f>
        <v>0.50530540677656521</v>
      </c>
    </row>
    <row r="8" spans="1:19" ht="15.75">
      <c r="A8" s="56">
        <v>46206</v>
      </c>
      <c r="B8" s="57" t="s">
        <v>144</v>
      </c>
      <c r="C8" s="57" t="s">
        <v>73</v>
      </c>
      <c r="D8" s="57">
        <v>121</v>
      </c>
      <c r="E8" s="57">
        <v>40</v>
      </c>
      <c r="F8" s="57">
        <v>69</v>
      </c>
      <c r="G8" s="57">
        <v>923</v>
      </c>
      <c r="H8" s="57">
        <v>301</v>
      </c>
      <c r="I8" s="58">
        <f t="shared" si="0"/>
        <v>0.42857142857142855</v>
      </c>
      <c r="J8" s="58">
        <f t="shared" si="1"/>
        <v>13.376811594202898</v>
      </c>
      <c r="K8" s="58">
        <f t="shared" si="2"/>
        <v>1.8695652173913044</v>
      </c>
      <c r="N8" s="59" t="s">
        <v>50</v>
      </c>
      <c r="O8" s="60">
        <f>O7</f>
        <v>217</v>
      </c>
      <c r="P8" s="62">
        <f>O8*S7</f>
        <v>109.65127327051465</v>
      </c>
      <c r="Q8" s="62">
        <f>P8*R7</f>
        <v>1493.0362743046012</v>
      </c>
      <c r="R8" s="520"/>
      <c r="S8" s="520"/>
    </row>
    <row r="9" spans="1:19">
      <c r="A9" s="56">
        <v>46208</v>
      </c>
      <c r="B9" s="57" t="s">
        <v>144</v>
      </c>
      <c r="C9" s="57" t="s">
        <v>73</v>
      </c>
      <c r="D9" s="57">
        <v>172</v>
      </c>
      <c r="E9" s="57">
        <v>42</v>
      </c>
      <c r="F9" s="57">
        <v>112</v>
      </c>
      <c r="G9" s="57">
        <v>1504</v>
      </c>
      <c r="H9" s="57">
        <v>125</v>
      </c>
      <c r="I9" s="58">
        <f t="shared" si="0"/>
        <v>0.52336448598130836</v>
      </c>
      <c r="J9" s="58">
        <f t="shared" si="1"/>
        <v>13.428571428571429</v>
      </c>
      <c r="K9" s="58">
        <f t="shared" si="2"/>
        <v>0.58411214953271029</v>
      </c>
      <c r="N9" s="521" t="s">
        <v>51</v>
      </c>
      <c r="O9" s="516"/>
      <c r="P9" s="516"/>
      <c r="Q9" s="516"/>
      <c r="R9" s="516"/>
      <c r="S9" s="511"/>
    </row>
    <row r="10" spans="1:19">
      <c r="A10" s="56">
        <v>46211</v>
      </c>
      <c r="B10" s="57" t="s">
        <v>156</v>
      </c>
      <c r="C10" s="57" t="s">
        <v>73</v>
      </c>
      <c r="D10" s="57">
        <v>140</v>
      </c>
      <c r="E10" s="57">
        <v>33</v>
      </c>
      <c r="F10" s="57">
        <v>101</v>
      </c>
      <c r="G10" s="57">
        <v>1322</v>
      </c>
      <c r="H10" s="57">
        <v>263</v>
      </c>
      <c r="I10" s="58">
        <f t="shared" si="0"/>
        <v>0.58381502890173409</v>
      </c>
      <c r="J10" s="58">
        <f t="shared" si="1"/>
        <v>13.089108910891088</v>
      </c>
      <c r="K10" s="58">
        <f t="shared" si="2"/>
        <v>1.5202312138728324</v>
      </c>
      <c r="N10" s="521" t="s">
        <v>52</v>
      </c>
      <c r="O10" s="516"/>
      <c r="P10" s="511"/>
      <c r="Q10" s="521" t="s">
        <v>53</v>
      </c>
      <c r="R10" s="516"/>
      <c r="S10" s="511"/>
    </row>
    <row r="11" spans="1:19">
      <c r="A11" s="56">
        <v>46213</v>
      </c>
      <c r="B11" s="57" t="s">
        <v>144</v>
      </c>
      <c r="C11" s="57" t="s">
        <v>73</v>
      </c>
      <c r="D11" s="57">
        <v>170</v>
      </c>
      <c r="E11" s="57">
        <v>45</v>
      </c>
      <c r="F11" s="57">
        <v>106</v>
      </c>
      <c r="G11" s="57">
        <v>1639</v>
      </c>
      <c r="H11" s="57">
        <v>305</v>
      </c>
      <c r="I11" s="58">
        <f t="shared" si="0"/>
        <v>0.49302325581395351</v>
      </c>
      <c r="J11" s="58">
        <f t="shared" si="1"/>
        <v>15.462264150943396</v>
      </c>
      <c r="K11" s="58">
        <f t="shared" si="2"/>
        <v>1.4186046511627908</v>
      </c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.75">
      <c r="A12" s="56">
        <v>46215</v>
      </c>
      <c r="B12" s="57" t="s">
        <v>144</v>
      </c>
      <c r="C12" s="57" t="s">
        <v>73</v>
      </c>
      <c r="D12" s="57">
        <v>153</v>
      </c>
      <c r="E12" s="57">
        <v>53</v>
      </c>
      <c r="F12" s="57">
        <v>102</v>
      </c>
      <c r="G12" s="57">
        <v>1373</v>
      </c>
      <c r="H12" s="57">
        <v>343</v>
      </c>
      <c r="I12" s="58">
        <f t="shared" si="0"/>
        <v>0.49514563106796117</v>
      </c>
      <c r="J12" s="58">
        <f t="shared" si="1"/>
        <v>13.46078431372549</v>
      </c>
      <c r="K12" s="58">
        <f t="shared" si="2"/>
        <v>1.6650485436893203</v>
      </c>
      <c r="N12" s="63">
        <v>1</v>
      </c>
      <c r="O12" s="64">
        <v>0</v>
      </c>
      <c r="P12" s="65">
        <f>O12*R7</f>
        <v>0</v>
      </c>
      <c r="Q12" s="63">
        <v>3</v>
      </c>
      <c r="R12" s="64">
        <v>35</v>
      </c>
      <c r="S12" s="65">
        <f>R12*R7</f>
        <v>476.56783220147804</v>
      </c>
    </row>
    <row r="13" spans="1:19" ht="15.75">
      <c r="A13" s="56">
        <v>46216</v>
      </c>
      <c r="B13" s="57" t="s">
        <v>144</v>
      </c>
      <c r="C13" s="57" t="s">
        <v>73</v>
      </c>
      <c r="D13" s="57">
        <v>135</v>
      </c>
      <c r="E13" s="57">
        <v>34</v>
      </c>
      <c r="F13" s="57">
        <v>87</v>
      </c>
      <c r="G13" s="57">
        <v>1136</v>
      </c>
      <c r="H13" s="57">
        <v>195</v>
      </c>
      <c r="I13" s="58">
        <f t="shared" si="0"/>
        <v>0.51479289940828399</v>
      </c>
      <c r="J13" s="58">
        <f t="shared" si="1"/>
        <v>13.057471264367816</v>
      </c>
      <c r="K13" s="58">
        <f t="shared" si="2"/>
        <v>1.1538461538461537</v>
      </c>
      <c r="N13" s="63">
        <v>2</v>
      </c>
      <c r="O13" s="64">
        <v>0</v>
      </c>
      <c r="P13" s="65">
        <f>O13*R7</f>
        <v>0</v>
      </c>
      <c r="Q13" s="63">
        <v>4</v>
      </c>
      <c r="R13" s="64">
        <v>35</v>
      </c>
      <c r="S13" s="65">
        <f>R7*R13</f>
        <v>476.56783220147804</v>
      </c>
    </row>
    <row r="14" spans="1:19" ht="15.75">
      <c r="A14" s="56">
        <v>46218</v>
      </c>
      <c r="B14" s="57" t="s">
        <v>144</v>
      </c>
      <c r="C14" s="57" t="s">
        <v>73</v>
      </c>
      <c r="D14" s="57">
        <v>153</v>
      </c>
      <c r="E14" s="57">
        <v>33</v>
      </c>
      <c r="F14" s="57">
        <v>88</v>
      </c>
      <c r="G14" s="57">
        <v>1212</v>
      </c>
      <c r="H14" s="57">
        <v>315</v>
      </c>
      <c r="I14" s="58">
        <f t="shared" si="0"/>
        <v>0.4731182795698925</v>
      </c>
      <c r="J14" s="58">
        <f t="shared" si="1"/>
        <v>13.772727272727273</v>
      </c>
      <c r="K14" s="58">
        <f t="shared" si="2"/>
        <v>1.6935483870967742</v>
      </c>
      <c r="N14" s="63">
        <v>3</v>
      </c>
      <c r="O14" s="64">
        <v>0</v>
      </c>
      <c r="P14" s="65">
        <f>R7*O14</f>
        <v>0</v>
      </c>
      <c r="Q14" s="63">
        <v>5</v>
      </c>
      <c r="R14" s="64">
        <v>10</v>
      </c>
      <c r="S14" s="65">
        <f>R14*R7</f>
        <v>136.16223777185087</v>
      </c>
    </row>
    <row r="15" spans="1:19" ht="15.75">
      <c r="A15" s="56"/>
      <c r="B15" s="57"/>
      <c r="C15" s="57"/>
      <c r="D15" s="57"/>
      <c r="E15" s="57"/>
      <c r="F15" s="57"/>
      <c r="G15" s="57"/>
      <c r="H15" s="57"/>
      <c r="I15" s="58"/>
      <c r="J15" s="58"/>
      <c r="K15" s="58"/>
      <c r="N15" s="63">
        <v>4</v>
      </c>
      <c r="O15" s="64">
        <v>0</v>
      </c>
      <c r="P15" s="65">
        <f>R7*O15</f>
        <v>0</v>
      </c>
      <c r="Q15" s="63">
        <v>1</v>
      </c>
      <c r="R15" s="64">
        <v>0</v>
      </c>
      <c r="S15" s="65">
        <f>R7*R15</f>
        <v>0</v>
      </c>
    </row>
    <row r="16" spans="1:19" ht="15.75">
      <c r="A16" s="56"/>
      <c r="B16" s="57"/>
      <c r="C16" s="57"/>
      <c r="D16" s="57"/>
      <c r="E16" s="57"/>
      <c r="F16" s="57"/>
      <c r="G16" s="57"/>
      <c r="H16" s="57"/>
      <c r="I16" s="58"/>
      <c r="J16" s="58"/>
      <c r="K16" s="58"/>
      <c r="N16" s="63">
        <v>5</v>
      </c>
      <c r="O16" s="64">
        <v>0</v>
      </c>
      <c r="P16" s="65">
        <f>R7*O16</f>
        <v>0</v>
      </c>
      <c r="Q16" s="63"/>
      <c r="R16" s="64">
        <v>0</v>
      </c>
      <c r="S16" s="65">
        <f>R7*R16</f>
        <v>0</v>
      </c>
    </row>
    <row r="17" spans="1:19" ht="15.75">
      <c r="A17" s="56"/>
      <c r="B17" s="57"/>
      <c r="C17" s="57"/>
      <c r="D17" s="57"/>
      <c r="E17" s="57"/>
      <c r="F17" s="57"/>
      <c r="G17" s="57"/>
      <c r="H17" s="57"/>
      <c r="I17" s="58"/>
      <c r="J17" s="58"/>
      <c r="K17" s="58"/>
      <c r="N17" s="63">
        <v>6</v>
      </c>
      <c r="O17" s="64">
        <v>0</v>
      </c>
      <c r="P17" s="65">
        <f>R7*O17</f>
        <v>0</v>
      </c>
      <c r="Q17" s="63"/>
      <c r="R17" s="64">
        <v>0</v>
      </c>
      <c r="S17" s="65">
        <f>R7*R17</f>
        <v>0</v>
      </c>
    </row>
    <row r="18" spans="1:19" ht="15.75">
      <c r="A18" s="56"/>
      <c r="B18" s="57"/>
      <c r="C18" s="57"/>
      <c r="D18" s="57"/>
      <c r="E18" s="57"/>
      <c r="F18" s="57"/>
      <c r="G18" s="57"/>
      <c r="H18" s="57"/>
      <c r="I18" s="58"/>
      <c r="J18" s="58"/>
      <c r="K18" s="58"/>
      <c r="N18" s="63">
        <v>7</v>
      </c>
      <c r="O18" s="64">
        <v>0</v>
      </c>
      <c r="P18" s="65">
        <f>R7*O18</f>
        <v>0</v>
      </c>
      <c r="Q18" s="63"/>
      <c r="R18" s="64">
        <v>0</v>
      </c>
      <c r="S18" s="65">
        <f>R7*R18</f>
        <v>0</v>
      </c>
    </row>
    <row r="19" spans="1:19" ht="15.75">
      <c r="A19" s="56"/>
      <c r="B19" s="57"/>
      <c r="C19" s="57"/>
      <c r="D19" s="57"/>
      <c r="E19" s="57"/>
      <c r="F19" s="57"/>
      <c r="G19" s="57"/>
      <c r="H19" s="57"/>
      <c r="I19" s="58"/>
      <c r="J19" s="58"/>
      <c r="K19" s="58"/>
      <c r="N19" s="63">
        <v>8</v>
      </c>
      <c r="O19" s="64">
        <v>0</v>
      </c>
      <c r="P19" s="65">
        <f>R7*O19</f>
        <v>0</v>
      </c>
      <c r="Q19" s="63"/>
      <c r="R19" s="64">
        <v>0</v>
      </c>
      <c r="S19" s="65">
        <f>R7*R19</f>
        <v>0</v>
      </c>
    </row>
    <row r="20" spans="1:19" ht="15.75">
      <c r="A20" s="56"/>
      <c r="B20" s="57"/>
      <c r="C20" s="57"/>
      <c r="D20" s="57"/>
      <c r="E20" s="57"/>
      <c r="F20" s="57"/>
      <c r="G20" s="57"/>
      <c r="H20" s="57"/>
      <c r="I20" s="58"/>
      <c r="J20" s="58"/>
      <c r="K20" s="58"/>
      <c r="N20" s="63">
        <v>9</v>
      </c>
      <c r="O20" s="64">
        <v>0</v>
      </c>
      <c r="P20" s="65">
        <f>R7*O20</f>
        <v>0</v>
      </c>
      <c r="Q20" s="63"/>
      <c r="R20" s="64">
        <v>0</v>
      </c>
      <c r="S20" s="65">
        <f>R7*R20</f>
        <v>0</v>
      </c>
    </row>
    <row r="21" spans="1:19" ht="15.75">
      <c r="A21" s="56"/>
      <c r="B21" s="57"/>
      <c r="C21" s="57"/>
      <c r="D21" s="57"/>
      <c r="E21" s="57"/>
      <c r="F21" s="57"/>
      <c r="G21" s="57"/>
      <c r="H21" s="57"/>
      <c r="I21" s="58"/>
      <c r="J21" s="58"/>
      <c r="K21" s="58"/>
      <c r="N21" s="68" t="s">
        <v>53</v>
      </c>
      <c r="O21" s="64">
        <v>0</v>
      </c>
      <c r="P21" s="65">
        <f>R7*O21</f>
        <v>0</v>
      </c>
      <c r="Q21" s="63"/>
      <c r="R21" s="64"/>
      <c r="S21" s="65">
        <f>R7*R21</f>
        <v>0</v>
      </c>
    </row>
    <row r="22" spans="1:19" ht="15.75">
      <c r="A22" s="56"/>
      <c r="B22" s="57"/>
      <c r="C22" s="57"/>
      <c r="D22" s="57"/>
      <c r="E22" s="57"/>
      <c r="F22" s="57"/>
      <c r="G22" s="57"/>
      <c r="H22" s="57"/>
      <c r="I22" s="58"/>
      <c r="J22" s="58"/>
      <c r="K22" s="58"/>
      <c r="N22" s="59" t="s">
        <v>59</v>
      </c>
      <c r="O22" s="69">
        <f>P8-O12-O13-O14-O15-O16-O17-O18-O19-O20-O21</f>
        <v>109.65127327051465</v>
      </c>
      <c r="P22" s="69">
        <f>Q8-P12-P13-P14-P15-P16-P17-P18-P19-P20-P21</f>
        <v>1493.0362743046012</v>
      </c>
      <c r="Q22" s="59" t="s">
        <v>59</v>
      </c>
      <c r="R22" s="69">
        <f>P8-R12-R13-R14-R15-R16-R17-R18-R19-R20-R21</f>
        <v>29.65127327051465</v>
      </c>
      <c r="S22" s="69">
        <f>Q8-S12-S13-S14-S15-S16-S17-S18-S19-S20-S21</f>
        <v>403.73837212979424</v>
      </c>
    </row>
    <row r="23" spans="1:19">
      <c r="A23" s="56"/>
      <c r="B23" s="57"/>
      <c r="C23" s="57"/>
      <c r="D23" s="57"/>
      <c r="E23" s="57"/>
      <c r="F23" s="57"/>
      <c r="G23" s="57"/>
      <c r="H23" s="57"/>
      <c r="I23" s="58"/>
      <c r="J23" s="58"/>
      <c r="K23" s="58"/>
      <c r="N23" s="59" t="s">
        <v>60</v>
      </c>
      <c r="O23" s="62">
        <f>O12+O13+O14+O15+O16+O17+O18+O19+O20+O21</f>
        <v>0</v>
      </c>
      <c r="P23" s="62">
        <f>P12+P13+P14+P15+P16+P17+P18+P19+P20+P21</f>
        <v>0</v>
      </c>
      <c r="Q23" s="59" t="s">
        <v>60</v>
      </c>
      <c r="R23" s="62">
        <f>R12+R13+R14+R15+R16+R17+R18+R19+R20+R21</f>
        <v>80</v>
      </c>
      <c r="S23" s="62">
        <f>S12+S13+S14+S15+S16+S17+S18+S19+S20+S21</f>
        <v>1089.2979021748069</v>
      </c>
    </row>
    <row r="24" spans="1:19">
      <c r="A24" s="56"/>
      <c r="B24" s="57"/>
      <c r="C24" s="57"/>
      <c r="D24" s="57"/>
      <c r="E24" s="57"/>
      <c r="F24" s="57"/>
      <c r="G24" s="57"/>
      <c r="H24" s="57"/>
      <c r="I24" s="58"/>
      <c r="J24" s="58"/>
      <c r="K24" s="58"/>
    </row>
    <row r="25" spans="1:19">
      <c r="A25" s="56"/>
      <c r="B25" s="57"/>
      <c r="C25" s="57"/>
      <c r="D25" s="57"/>
      <c r="E25" s="57"/>
      <c r="F25" s="57"/>
      <c r="G25" s="57"/>
      <c r="H25" s="57"/>
      <c r="I25" s="58"/>
      <c r="J25" s="58"/>
      <c r="K25" s="58"/>
    </row>
    <row r="26" spans="1:19">
      <c r="A26" s="56"/>
      <c r="B26" s="57"/>
      <c r="C26" s="57"/>
      <c r="D26" s="57"/>
      <c r="E26" s="57"/>
      <c r="F26" s="57"/>
      <c r="G26" s="57"/>
      <c r="H26" s="57"/>
      <c r="I26" s="58"/>
      <c r="J26" s="58"/>
      <c r="K26" s="58"/>
    </row>
    <row r="27" spans="1:19">
      <c r="A27" s="56"/>
      <c r="B27" s="57"/>
      <c r="C27" s="57"/>
      <c r="D27" s="57"/>
      <c r="E27" s="57"/>
      <c r="F27" s="57"/>
      <c r="G27" s="57"/>
      <c r="H27" s="57"/>
      <c r="I27" s="58"/>
      <c r="J27" s="58"/>
      <c r="K27" s="58"/>
    </row>
    <row r="28" spans="1:19">
      <c r="A28" s="56"/>
      <c r="B28" s="57"/>
      <c r="C28" s="57"/>
      <c r="D28" s="57"/>
      <c r="E28" s="57"/>
      <c r="F28" s="57"/>
      <c r="G28" s="57"/>
      <c r="H28" s="57"/>
      <c r="I28" s="58"/>
      <c r="J28" s="58"/>
      <c r="K28" s="58"/>
    </row>
    <row r="29" spans="1:19">
      <c r="A29" s="56"/>
      <c r="B29" s="57"/>
      <c r="C29" s="57"/>
      <c r="D29" s="57"/>
      <c r="E29" s="57"/>
      <c r="F29" s="57"/>
      <c r="G29" s="57"/>
      <c r="H29" s="57"/>
      <c r="I29" s="58"/>
      <c r="J29" s="58"/>
      <c r="K29" s="58"/>
    </row>
    <row r="30" spans="1:19">
      <c r="A30" s="56"/>
      <c r="B30" s="57"/>
      <c r="C30" s="57"/>
      <c r="D30" s="57"/>
      <c r="E30" s="57"/>
      <c r="F30" s="57"/>
      <c r="G30" s="57"/>
      <c r="H30" s="57"/>
      <c r="I30" s="58"/>
      <c r="J30" s="58"/>
      <c r="K30" s="58"/>
    </row>
    <row r="31" spans="1:19">
      <c r="A31" s="56"/>
      <c r="B31" s="57"/>
      <c r="C31" s="57"/>
      <c r="D31" s="57"/>
      <c r="E31" s="57"/>
      <c r="F31" s="57"/>
      <c r="G31" s="57"/>
      <c r="H31" s="57"/>
      <c r="I31" s="58"/>
      <c r="J31" s="58"/>
      <c r="K31" s="58"/>
    </row>
    <row r="32" spans="1:19">
      <c r="A32" s="56"/>
      <c r="B32" s="57"/>
      <c r="C32" s="57"/>
      <c r="D32" s="57"/>
      <c r="E32" s="57"/>
      <c r="F32" s="57"/>
      <c r="G32" s="57"/>
      <c r="H32" s="57"/>
      <c r="I32" s="58"/>
      <c r="J32" s="58"/>
      <c r="K32" s="58"/>
    </row>
    <row r="33" spans="1:11">
      <c r="A33" s="56"/>
      <c r="B33" s="57"/>
      <c r="C33" s="57"/>
      <c r="D33" s="57"/>
      <c r="E33" s="57"/>
      <c r="F33" s="57"/>
      <c r="G33" s="57"/>
      <c r="H33" s="57"/>
      <c r="I33" s="58"/>
      <c r="J33" s="58"/>
      <c r="K33" s="58"/>
    </row>
    <row r="34" spans="1:11">
      <c r="A34" s="56"/>
      <c r="B34" s="57"/>
      <c r="C34" s="57"/>
      <c r="D34" s="57"/>
      <c r="E34" s="57"/>
      <c r="F34" s="57"/>
      <c r="G34" s="57"/>
      <c r="H34" s="57"/>
      <c r="I34" s="58"/>
      <c r="J34" s="70"/>
      <c r="K34" s="70"/>
    </row>
    <row r="35" spans="1:11">
      <c r="A35" s="56"/>
      <c r="B35" s="57"/>
      <c r="C35" s="57"/>
      <c r="D35" s="57"/>
      <c r="E35" s="57"/>
      <c r="F35" s="57"/>
      <c r="G35" s="57"/>
      <c r="H35" s="57"/>
      <c r="I35" s="58"/>
      <c r="J35" s="70"/>
      <c r="K35" s="70"/>
    </row>
    <row r="36" spans="1:11">
      <c r="A36" s="66"/>
      <c r="B36" s="67"/>
      <c r="C36" s="67"/>
      <c r="D36" s="67"/>
      <c r="E36" s="67"/>
      <c r="F36" s="67"/>
      <c r="G36" s="67"/>
      <c r="H36" s="67"/>
      <c r="I36" s="58"/>
      <c r="J36" s="70"/>
      <c r="K36" s="70"/>
    </row>
    <row r="37" spans="1:11">
      <c r="A37" s="66"/>
      <c r="B37" s="67"/>
      <c r="C37" s="67"/>
      <c r="D37" s="67"/>
      <c r="E37" s="67"/>
      <c r="F37" s="67"/>
      <c r="G37" s="67"/>
      <c r="H37" s="67"/>
      <c r="I37" s="70"/>
      <c r="J37" s="70"/>
      <c r="K37" s="70"/>
    </row>
    <row r="38" spans="1:11">
      <c r="A38" s="66"/>
      <c r="B38" s="67"/>
      <c r="C38" s="67"/>
      <c r="D38" s="67"/>
      <c r="E38" s="67"/>
      <c r="F38" s="67"/>
      <c r="G38" s="67"/>
      <c r="H38" s="67"/>
      <c r="I38" s="70"/>
      <c r="J38" s="70"/>
      <c r="K38" s="70"/>
    </row>
    <row r="39" spans="1:11">
      <c r="A39" s="66"/>
      <c r="B39" s="67"/>
      <c r="C39" s="67"/>
      <c r="D39" s="67"/>
      <c r="E39" s="67"/>
      <c r="F39" s="67"/>
      <c r="G39" s="67"/>
      <c r="H39" s="67"/>
      <c r="I39" s="70"/>
      <c r="J39" s="70"/>
      <c r="K39" s="70"/>
    </row>
    <row r="40" spans="1:11">
      <c r="A40" s="66"/>
      <c r="B40" s="67"/>
      <c r="C40" s="67"/>
      <c r="D40" s="67"/>
      <c r="E40" s="67"/>
      <c r="F40" s="67"/>
      <c r="G40" s="67"/>
      <c r="H40" s="67"/>
      <c r="I40" s="70"/>
      <c r="J40" s="70"/>
      <c r="K40" s="70"/>
    </row>
    <row r="41" spans="1:11">
      <c r="A41" s="66"/>
      <c r="B41" s="67"/>
      <c r="C41" s="67"/>
      <c r="D41" s="67"/>
      <c r="E41" s="67"/>
      <c r="F41" s="67"/>
      <c r="G41" s="67"/>
      <c r="H41" s="67"/>
      <c r="I41" s="70"/>
      <c r="J41" s="70"/>
      <c r="K41" s="70"/>
    </row>
    <row r="42" spans="1:11">
      <c r="A42" s="66"/>
      <c r="B42" s="67"/>
      <c r="C42" s="67"/>
      <c r="D42" s="67"/>
      <c r="E42" s="67"/>
      <c r="F42" s="67"/>
      <c r="G42" s="67"/>
      <c r="H42" s="67"/>
      <c r="I42" s="70"/>
      <c r="J42" s="70"/>
      <c r="K42" s="70"/>
    </row>
    <row r="43" spans="1:11">
      <c r="A43" s="66"/>
      <c r="B43" s="67"/>
      <c r="C43" s="67"/>
      <c r="D43" s="67"/>
      <c r="E43" s="67"/>
      <c r="F43" s="67"/>
      <c r="G43" s="67"/>
      <c r="H43" s="67"/>
      <c r="I43" s="70"/>
      <c r="J43" s="70"/>
      <c r="K43" s="70"/>
    </row>
    <row r="44" spans="1:11">
      <c r="A44" s="66"/>
      <c r="B44" s="67"/>
      <c r="C44" s="67"/>
      <c r="D44" s="67"/>
      <c r="E44" s="67"/>
      <c r="F44" s="67"/>
      <c r="G44" s="67"/>
      <c r="H44" s="67"/>
      <c r="I44" s="70"/>
      <c r="J44" s="70"/>
      <c r="K44" s="70"/>
    </row>
    <row r="45" spans="1:11">
      <c r="A45" s="66"/>
      <c r="B45" s="67"/>
      <c r="C45" s="67"/>
      <c r="D45" s="67"/>
      <c r="E45" s="67"/>
      <c r="F45" s="67"/>
      <c r="G45" s="67"/>
      <c r="H45" s="67"/>
      <c r="I45" s="70"/>
      <c r="J45" s="70"/>
      <c r="K45" s="70"/>
    </row>
    <row r="46" spans="1:11">
      <c r="A46" s="66"/>
      <c r="B46" s="67"/>
      <c r="C46" s="67"/>
      <c r="D46" s="67"/>
      <c r="E46" s="67"/>
      <c r="F46" s="67"/>
      <c r="G46" s="67"/>
      <c r="H46" s="67"/>
      <c r="I46" s="70"/>
      <c r="J46" s="70"/>
      <c r="K46" s="70"/>
    </row>
    <row r="47" spans="1:11">
      <c r="A47" s="67"/>
      <c r="B47" s="67"/>
      <c r="C47" s="67"/>
      <c r="D47" s="67"/>
      <c r="E47" s="67"/>
      <c r="F47" s="67"/>
      <c r="G47" s="67"/>
      <c r="H47" s="67"/>
      <c r="I47" s="70"/>
      <c r="J47" s="70"/>
      <c r="K47" s="70"/>
    </row>
    <row r="48" spans="1:11">
      <c r="A48" s="67"/>
      <c r="B48" s="67"/>
      <c r="C48" s="67"/>
      <c r="D48" s="67"/>
      <c r="E48" s="67"/>
      <c r="F48" s="67"/>
      <c r="G48" s="67"/>
      <c r="H48" s="67"/>
      <c r="I48" s="58"/>
      <c r="J48" s="70"/>
      <c r="K48" s="70"/>
    </row>
  </sheetData>
  <sheetProtection password="CC6F" sheet="1" objects="1" scenarios="1"/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sheetPr codeName="Лист58"/>
  <dimension ref="A1:S56"/>
  <sheetViews>
    <sheetView workbookViewId="0">
      <selection activeCell="K9" sqref="K9:K10"/>
    </sheetView>
  </sheetViews>
  <sheetFormatPr defaultRowHeight="15"/>
  <cols>
    <col min="1" max="1" width="10.140625" style="49" customWidth="1"/>
    <col min="2" max="8" width="8.7109375" style="49" customWidth="1"/>
    <col min="9" max="9" width="14" style="49" customWidth="1"/>
    <col min="10" max="10" width="15.5703125" style="49" customWidth="1"/>
    <col min="11" max="11" width="12.85546875" style="49" customWidth="1"/>
    <col min="12" max="13" width="8.7109375" style="49" customWidth="1"/>
    <col min="14" max="14" width="12" style="49" customWidth="1"/>
    <col min="15" max="15" width="11.5703125" style="49" customWidth="1"/>
    <col min="16" max="16" width="13.5703125" style="49" customWidth="1"/>
    <col min="17" max="17" width="12" style="49" customWidth="1"/>
    <col min="18" max="18" width="10.42578125" style="49" customWidth="1"/>
    <col min="19" max="19" width="12.7109375" style="49" customWidth="1"/>
    <col min="20" max="16384" width="9.140625" style="49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175</v>
      </c>
    </row>
    <row r="3" spans="1:19" ht="15" customHeight="1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9">
      <c r="A4" s="73" t="s">
        <v>66</v>
      </c>
      <c r="B4" s="73" t="s">
        <v>109</v>
      </c>
      <c r="C4" s="510">
        <f>AVERAGEA(I7:I37)</f>
        <v>0.4793077270523044</v>
      </c>
      <c r="D4" s="511"/>
      <c r="E4" s="510">
        <f>AVERAGEA(J7:J37)</f>
        <v>13.972685943672833</v>
      </c>
      <c r="F4" s="511"/>
      <c r="G4" s="510">
        <f>AVERAGEA(K7:K37)</f>
        <v>1.2103079840750337</v>
      </c>
      <c r="H4" s="511"/>
      <c r="I4" s="74">
        <f>C4*K2</f>
        <v>83.878852234153271</v>
      </c>
      <c r="J4" s="74">
        <f>I4*E4</f>
        <v>1172.012859583564</v>
      </c>
      <c r="K4" s="74">
        <f>K2*G4</f>
        <v>211.80389721313091</v>
      </c>
    </row>
    <row r="5" spans="1:19" ht="15.75" customHeight="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  <c r="N6" s="520"/>
      <c r="O6" s="520"/>
      <c r="P6" s="520"/>
      <c r="Q6" s="520"/>
      <c r="R6" s="520"/>
      <c r="S6" s="520"/>
    </row>
    <row r="7" spans="1:19" ht="15.75" customHeight="1">
      <c r="A7" s="77">
        <v>46206</v>
      </c>
      <c r="B7" s="78">
        <v>483</v>
      </c>
      <c r="C7" s="78" t="s">
        <v>62</v>
      </c>
      <c r="D7" s="78">
        <v>146</v>
      </c>
      <c r="E7" s="78">
        <v>29</v>
      </c>
      <c r="F7" s="78">
        <v>83</v>
      </c>
      <c r="G7" s="78">
        <v>1152</v>
      </c>
      <c r="H7" s="78">
        <v>251</v>
      </c>
      <c r="I7" s="79">
        <f t="shared" ref="I7:I10" si="0">F7/(D7+E7)</f>
        <v>0.47428571428571431</v>
      </c>
      <c r="J7" s="79">
        <f t="shared" ref="J7:J10" si="1">G7/F7</f>
        <v>13.879518072289157</v>
      </c>
      <c r="K7" s="79">
        <f t="shared" ref="K7:K10" si="2">H7/(D7+E7)</f>
        <v>1.4342857142857144</v>
      </c>
      <c r="N7" s="59" t="s">
        <v>49</v>
      </c>
      <c r="O7" s="60">
        <f>K2</f>
        <v>175</v>
      </c>
      <c r="P7" s="61">
        <f>I4</f>
        <v>83.878852234153271</v>
      </c>
      <c r="Q7" s="61">
        <f>J4</f>
        <v>1172.012859583564</v>
      </c>
      <c r="R7" s="539">
        <f>Q7/P7</f>
        <v>13.972685943672833</v>
      </c>
      <c r="S7" s="539">
        <f>P7/O7</f>
        <v>0.4793077270523044</v>
      </c>
    </row>
    <row r="8" spans="1:19" ht="15.75" customHeight="1">
      <c r="A8" s="198">
        <v>46209</v>
      </c>
      <c r="B8" s="81">
        <v>483</v>
      </c>
      <c r="C8" s="426" t="s">
        <v>62</v>
      </c>
      <c r="D8" s="81">
        <v>110</v>
      </c>
      <c r="E8" s="81">
        <v>27</v>
      </c>
      <c r="F8" s="81">
        <v>72</v>
      </c>
      <c r="G8" s="81">
        <v>1034</v>
      </c>
      <c r="H8" s="81">
        <v>154</v>
      </c>
      <c r="I8" s="79">
        <f t="shared" si="0"/>
        <v>0.52554744525547448</v>
      </c>
      <c r="J8" s="79">
        <f t="shared" si="1"/>
        <v>14.361111111111111</v>
      </c>
      <c r="K8" s="79">
        <f t="shared" si="2"/>
        <v>1.1240875912408759</v>
      </c>
      <c r="N8" s="59" t="s">
        <v>50</v>
      </c>
      <c r="O8" s="60">
        <f>O7</f>
        <v>175</v>
      </c>
      <c r="P8" s="62">
        <f>O8*S7</f>
        <v>83.878852234153271</v>
      </c>
      <c r="Q8" s="62">
        <f>P8*R7</f>
        <v>1172.012859583564</v>
      </c>
      <c r="R8" s="520"/>
      <c r="S8" s="520"/>
    </row>
    <row r="9" spans="1:19">
      <c r="A9" s="80">
        <v>46213</v>
      </c>
      <c r="B9" s="232">
        <v>483</v>
      </c>
      <c r="C9" s="433" t="s">
        <v>62</v>
      </c>
      <c r="D9" s="81">
        <v>130</v>
      </c>
      <c r="E9" s="81">
        <v>27</v>
      </c>
      <c r="F9" s="81">
        <v>68</v>
      </c>
      <c r="G9" s="81">
        <v>1028</v>
      </c>
      <c r="H9" s="81">
        <v>155</v>
      </c>
      <c r="I9" s="79">
        <f t="shared" si="0"/>
        <v>0.43312101910828027</v>
      </c>
      <c r="J9" s="79">
        <f t="shared" si="1"/>
        <v>15.117647058823529</v>
      </c>
      <c r="K9" s="79">
        <f t="shared" si="2"/>
        <v>0.98726114649681529</v>
      </c>
      <c r="N9" s="521" t="s">
        <v>51</v>
      </c>
      <c r="O9" s="516"/>
      <c r="P9" s="516"/>
      <c r="Q9" s="516"/>
      <c r="R9" s="516"/>
      <c r="S9" s="511"/>
    </row>
    <row r="10" spans="1:19">
      <c r="A10" s="80">
        <v>46216</v>
      </c>
      <c r="B10" s="233">
        <v>483</v>
      </c>
      <c r="C10" s="440" t="s">
        <v>62</v>
      </c>
      <c r="D10" s="81">
        <v>137</v>
      </c>
      <c r="E10" s="81">
        <v>22</v>
      </c>
      <c r="F10" s="81">
        <v>77</v>
      </c>
      <c r="G10" s="81">
        <v>965</v>
      </c>
      <c r="H10" s="81">
        <v>206</v>
      </c>
      <c r="I10" s="79">
        <f t="shared" si="0"/>
        <v>0.48427672955974843</v>
      </c>
      <c r="J10" s="79">
        <f t="shared" si="1"/>
        <v>12.532467532467532</v>
      </c>
      <c r="K10" s="79">
        <f t="shared" si="2"/>
        <v>1.2955974842767295</v>
      </c>
      <c r="N10" s="521" t="s">
        <v>52</v>
      </c>
      <c r="O10" s="516"/>
      <c r="P10" s="511"/>
      <c r="Q10" s="521" t="s">
        <v>53</v>
      </c>
      <c r="R10" s="516"/>
      <c r="S10" s="511"/>
    </row>
    <row r="11" spans="1:19">
      <c r="A11" s="80"/>
      <c r="B11" s="81"/>
      <c r="C11" s="402"/>
      <c r="D11" s="81"/>
      <c r="E11" s="81"/>
      <c r="F11" s="81"/>
      <c r="G11" s="81"/>
      <c r="H11" s="81"/>
      <c r="I11" s="79"/>
      <c r="J11" s="79"/>
      <c r="K11" s="79"/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.75" customHeight="1">
      <c r="A12" s="80"/>
      <c r="B12" s="355"/>
      <c r="C12" s="404"/>
      <c r="D12" s="81"/>
      <c r="E12" s="81"/>
      <c r="F12" s="81"/>
      <c r="G12" s="81"/>
      <c r="H12" s="81"/>
      <c r="I12" s="79"/>
      <c r="J12" s="79"/>
      <c r="K12" s="79"/>
      <c r="N12" s="63">
        <v>1</v>
      </c>
      <c r="O12" s="64">
        <v>19</v>
      </c>
      <c r="P12" s="65">
        <f>O12*R7</f>
        <v>265.48103292978379</v>
      </c>
      <c r="Q12" s="63">
        <v>3</v>
      </c>
      <c r="R12" s="64">
        <v>30</v>
      </c>
      <c r="S12" s="65">
        <f>R12*R7</f>
        <v>419.18057831018496</v>
      </c>
    </row>
    <row r="13" spans="1:19" ht="15.75" customHeight="1">
      <c r="A13" s="80"/>
      <c r="B13" s="81"/>
      <c r="C13" s="407"/>
      <c r="D13" s="81"/>
      <c r="E13" s="81"/>
      <c r="F13" s="81"/>
      <c r="G13" s="81"/>
      <c r="H13" s="81"/>
      <c r="I13" s="79"/>
      <c r="J13" s="79"/>
      <c r="K13" s="79"/>
      <c r="N13" s="63">
        <v>2</v>
      </c>
      <c r="O13" s="64">
        <v>18</v>
      </c>
      <c r="P13" s="65">
        <f>O13*R7</f>
        <v>251.50834698611098</v>
      </c>
      <c r="Q13" s="63">
        <v>4</v>
      </c>
      <c r="R13" s="64">
        <v>118</v>
      </c>
      <c r="S13" s="65">
        <f>R7*R13</f>
        <v>1648.7769413533942</v>
      </c>
    </row>
    <row r="14" spans="1:19" ht="15.75" customHeight="1">
      <c r="A14" s="80"/>
      <c r="B14" s="97"/>
      <c r="C14" s="413"/>
      <c r="D14" s="81"/>
      <c r="E14" s="81"/>
      <c r="F14" s="81"/>
      <c r="G14" s="81"/>
      <c r="H14" s="81"/>
      <c r="I14" s="79"/>
      <c r="J14" s="79"/>
      <c r="K14" s="79"/>
      <c r="N14" s="63">
        <v>3</v>
      </c>
      <c r="O14" s="64">
        <v>18</v>
      </c>
      <c r="P14" s="65">
        <f>R7*O14</f>
        <v>251.50834698611098</v>
      </c>
      <c r="Q14" s="63">
        <v>5</v>
      </c>
      <c r="R14" s="64">
        <v>0</v>
      </c>
      <c r="S14" s="65">
        <f>R14*R7</f>
        <v>0</v>
      </c>
    </row>
    <row r="15" spans="1:19" ht="15.75" customHeight="1">
      <c r="A15" s="80"/>
      <c r="B15" s="81"/>
      <c r="C15" s="388"/>
      <c r="D15" s="81"/>
      <c r="E15" s="81"/>
      <c r="F15" s="81"/>
      <c r="G15" s="81"/>
      <c r="H15" s="81"/>
      <c r="I15" s="79"/>
      <c r="J15" s="79"/>
      <c r="K15" s="79"/>
      <c r="N15" s="63">
        <v>4</v>
      </c>
      <c r="O15" s="64">
        <v>18</v>
      </c>
      <c r="P15" s="65">
        <f>R7*O15</f>
        <v>251.50834698611098</v>
      </c>
      <c r="Q15" s="63">
        <v>1</v>
      </c>
      <c r="R15" s="64">
        <v>0</v>
      </c>
      <c r="S15" s="65">
        <f>R7*R15</f>
        <v>0</v>
      </c>
    </row>
    <row r="16" spans="1:19" ht="15.75" customHeight="1">
      <c r="A16" s="80"/>
      <c r="B16" s="81"/>
      <c r="C16" s="252"/>
      <c r="D16" s="81"/>
      <c r="E16" s="81"/>
      <c r="F16" s="81"/>
      <c r="G16" s="81"/>
      <c r="H16" s="81"/>
      <c r="I16" s="79"/>
      <c r="J16" s="79"/>
      <c r="K16" s="79"/>
      <c r="N16" s="63">
        <v>5</v>
      </c>
      <c r="O16" s="64">
        <v>18</v>
      </c>
      <c r="P16" s="65">
        <f>R7*O16</f>
        <v>251.50834698611098</v>
      </c>
      <c r="Q16" s="63"/>
      <c r="R16" s="64">
        <v>0</v>
      </c>
      <c r="S16" s="65">
        <f>R7*R16</f>
        <v>0</v>
      </c>
    </row>
    <row r="17" spans="1:19" ht="15.75" customHeight="1">
      <c r="A17" s="80"/>
      <c r="B17" s="226"/>
      <c r="C17" s="253"/>
      <c r="D17" s="81"/>
      <c r="E17" s="81"/>
      <c r="F17" s="81"/>
      <c r="G17" s="81"/>
      <c r="H17" s="81"/>
      <c r="I17" s="79"/>
      <c r="J17" s="79"/>
      <c r="K17" s="79"/>
      <c r="N17" s="63">
        <v>6</v>
      </c>
      <c r="O17" s="64">
        <v>18</v>
      </c>
      <c r="P17" s="65">
        <f>R7*O17</f>
        <v>251.50834698611098</v>
      </c>
      <c r="Q17" s="63"/>
      <c r="R17" s="64">
        <v>0</v>
      </c>
      <c r="S17" s="65">
        <f>R7*R17</f>
        <v>0</v>
      </c>
    </row>
    <row r="18" spans="1:19" ht="15.75" customHeight="1">
      <c r="A18" s="80"/>
      <c r="B18" s="228"/>
      <c r="C18" s="254"/>
      <c r="D18" s="81"/>
      <c r="E18" s="81"/>
      <c r="F18" s="81"/>
      <c r="G18" s="81"/>
      <c r="H18" s="81"/>
      <c r="I18" s="79"/>
      <c r="J18" s="79"/>
      <c r="K18" s="79"/>
      <c r="N18" s="63">
        <v>7</v>
      </c>
      <c r="O18" s="64">
        <v>0</v>
      </c>
      <c r="P18" s="65">
        <f>R7*O18</f>
        <v>0</v>
      </c>
      <c r="Q18" s="63"/>
      <c r="R18" s="64">
        <v>0</v>
      </c>
      <c r="S18" s="65">
        <f>R7*R18</f>
        <v>0</v>
      </c>
    </row>
    <row r="19" spans="1:19" ht="15.75" customHeight="1">
      <c r="A19" s="80"/>
      <c r="B19" s="81"/>
      <c r="C19" s="240"/>
      <c r="D19" s="81"/>
      <c r="E19" s="81"/>
      <c r="F19" s="81"/>
      <c r="G19" s="81"/>
      <c r="H19" s="81"/>
      <c r="I19" s="79"/>
      <c r="J19" s="79"/>
      <c r="K19" s="79"/>
      <c r="N19" s="63">
        <v>8</v>
      </c>
      <c r="O19" s="64">
        <v>0</v>
      </c>
      <c r="P19" s="65">
        <f>R8*O19</f>
        <v>0</v>
      </c>
      <c r="Q19" s="63"/>
      <c r="R19" s="64">
        <v>0</v>
      </c>
      <c r="S19" s="65">
        <f>R7*R19</f>
        <v>0</v>
      </c>
    </row>
    <row r="20" spans="1:19" ht="15.75" customHeight="1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N20" s="63">
        <v>9</v>
      </c>
      <c r="O20" s="64">
        <v>0</v>
      </c>
      <c r="P20" s="65">
        <f>R9*O20</f>
        <v>0</v>
      </c>
      <c r="Q20" s="63"/>
      <c r="R20" s="64">
        <v>0</v>
      </c>
      <c r="S20" s="65">
        <f>R7*R20</f>
        <v>0</v>
      </c>
    </row>
    <row r="21" spans="1:19" ht="15.75" customHeight="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N21" s="68" t="s">
        <v>53</v>
      </c>
      <c r="O21" s="64">
        <v>0</v>
      </c>
      <c r="P21" s="65">
        <f>R10*O21</f>
        <v>0</v>
      </c>
      <c r="Q21" s="63"/>
      <c r="R21" s="64"/>
      <c r="S21" s="65">
        <f>R7*R21</f>
        <v>0</v>
      </c>
    </row>
    <row r="22" spans="1:19" ht="15.75" customHeight="1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N22" s="59" t="s">
        <v>59</v>
      </c>
      <c r="O22" s="69">
        <f>P8-O12-O13-O14-O15-O16-O17-O18-O19-O20-O21</f>
        <v>-25.121147765846729</v>
      </c>
      <c r="P22" s="69">
        <f>Q8-P12-P13-P14-P15-P16-P17-P18-P19-P20-P21</f>
        <v>-351.00990827677469</v>
      </c>
      <c r="Q22" s="59" t="s">
        <v>59</v>
      </c>
      <c r="R22" s="69">
        <f>P8-R12-R13-R14-R15-R16-R17-R18-R19-R20-R21</f>
        <v>-64.121147765846729</v>
      </c>
      <c r="S22" s="69">
        <f>Q8-S12-S13-S14-S15-S16-S17-S18-S19-S20-S21</f>
        <v>-895.94466008001518</v>
      </c>
    </row>
    <row r="23" spans="1:19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N23" s="59" t="s">
        <v>60</v>
      </c>
      <c r="O23" s="62">
        <f>O12+O13+O14+O15+O16+O17+O18+O19+O20+O21</f>
        <v>109</v>
      </c>
      <c r="P23" s="62">
        <f>P12+P13+P14+P15+P16+P17+P18+P19+P20+P21</f>
        <v>1523.0227678603387</v>
      </c>
      <c r="Q23" s="59" t="s">
        <v>60</v>
      </c>
      <c r="R23" s="62">
        <f>R12+R13+R14+R15+R16+R17+R18+R19+R20+R21</f>
        <v>148</v>
      </c>
      <c r="S23" s="62">
        <f>S12+S13+S14+S15+S16+S17+S18+S19+S20+S21</f>
        <v>2067.9575196635792</v>
      </c>
    </row>
    <row r="24" spans="1:19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</row>
    <row r="55" spans="14:19">
      <c r="N55" s="67"/>
      <c r="O55" s="67"/>
      <c r="P55" s="67"/>
      <c r="Q55" s="67"/>
      <c r="R55" s="67"/>
      <c r="S55" s="67"/>
    </row>
    <row r="56" spans="14:19">
      <c r="N56" s="72"/>
      <c r="O56" s="72"/>
      <c r="P56" s="72"/>
      <c r="Q56" s="72"/>
      <c r="R56" s="72"/>
      <c r="S56" s="72"/>
    </row>
  </sheetData>
  <sheetProtection password="CC6F" sheet="1" objects="1" scenarios="1"/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sheetPr codeName="Лист59"/>
  <dimension ref="A1:S1000"/>
  <sheetViews>
    <sheetView workbookViewId="0">
      <selection activeCell="A8" sqref="A8"/>
    </sheetView>
  </sheetViews>
  <sheetFormatPr defaultColWidth="14.42578125" defaultRowHeight="15" customHeight="1"/>
  <cols>
    <col min="1" max="1" width="11.140625" style="49" customWidth="1"/>
    <col min="2" max="8" width="8.7109375" style="49" customWidth="1"/>
    <col min="9" max="9" width="14" style="49" customWidth="1"/>
    <col min="10" max="10" width="15.5703125" style="49" customWidth="1"/>
    <col min="11" max="11" width="12.85546875" style="49" customWidth="1"/>
    <col min="12" max="13" width="8.7109375" style="49" customWidth="1"/>
    <col min="14" max="14" width="12" style="49" customWidth="1"/>
    <col min="15" max="15" width="11.5703125" style="49" customWidth="1"/>
    <col min="16" max="16" width="13.5703125" style="49" customWidth="1"/>
    <col min="17" max="17" width="12" style="49" customWidth="1"/>
    <col min="18" max="18" width="10.42578125" style="49" customWidth="1"/>
    <col min="19" max="19" width="12.7109375" style="49" customWidth="1"/>
    <col min="20" max="16384" width="14.42578125" style="49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191</v>
      </c>
    </row>
    <row r="3" spans="1:19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9">
      <c r="A4" s="73" t="s">
        <v>66</v>
      </c>
      <c r="B4" s="73" t="s">
        <v>30</v>
      </c>
      <c r="C4" s="510">
        <f>AVERAGEA(I7:I40)</f>
        <v>0.34</v>
      </c>
      <c r="D4" s="511"/>
      <c r="E4" s="510">
        <f>AVERAGEA(J7:J40)</f>
        <v>14.191176470588236</v>
      </c>
      <c r="F4" s="511"/>
      <c r="G4" s="510">
        <f>AVERAGEA(K7:K40)</f>
        <v>1.175</v>
      </c>
      <c r="H4" s="511"/>
      <c r="I4" s="74">
        <f>C4*K2</f>
        <v>64.94</v>
      </c>
      <c r="J4" s="74">
        <f>I4*E4</f>
        <v>921.57499999999993</v>
      </c>
      <c r="K4" s="74">
        <f>K2*G4</f>
        <v>224.42500000000001</v>
      </c>
    </row>
    <row r="5" spans="1:19" ht="15" customHeight="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  <c r="N6" s="520"/>
      <c r="O6" s="520"/>
      <c r="P6" s="520"/>
      <c r="Q6" s="520"/>
      <c r="R6" s="520"/>
      <c r="S6" s="520"/>
    </row>
    <row r="7" spans="1:19" ht="15.75">
      <c r="A7" s="77">
        <v>46204</v>
      </c>
      <c r="B7" s="78" t="s">
        <v>151</v>
      </c>
      <c r="C7" s="78" t="s">
        <v>73</v>
      </c>
      <c r="D7" s="78">
        <v>157</v>
      </c>
      <c r="E7" s="78">
        <v>43</v>
      </c>
      <c r="F7" s="78">
        <v>68</v>
      </c>
      <c r="G7" s="78">
        <v>965</v>
      </c>
      <c r="H7" s="78">
        <v>235</v>
      </c>
      <c r="I7" s="79">
        <f t="shared" ref="I7" si="0">F7/(D7+E7)</f>
        <v>0.34</v>
      </c>
      <c r="J7" s="79">
        <f t="shared" ref="J7" si="1">G7/F7</f>
        <v>14.191176470588236</v>
      </c>
      <c r="K7" s="79">
        <f t="shared" ref="K7" si="2">H7/(D7+E7)</f>
        <v>1.175</v>
      </c>
      <c r="N7" s="59" t="s">
        <v>49</v>
      </c>
      <c r="O7" s="60">
        <f>K2</f>
        <v>191</v>
      </c>
      <c r="P7" s="61">
        <f>I4</f>
        <v>64.94</v>
      </c>
      <c r="Q7" s="61">
        <f>J4</f>
        <v>921.57499999999993</v>
      </c>
      <c r="R7" s="539">
        <f>Q7/P7</f>
        <v>14.191176470588236</v>
      </c>
      <c r="S7" s="539">
        <f>P7/O7</f>
        <v>0.33999999999999997</v>
      </c>
    </row>
    <row r="8" spans="1:19" ht="15.75">
      <c r="A8" s="80"/>
      <c r="B8" s="337"/>
      <c r="C8" s="393"/>
      <c r="D8" s="81"/>
      <c r="E8" s="81"/>
      <c r="F8" s="81"/>
      <c r="G8" s="81"/>
      <c r="H8" s="81"/>
      <c r="I8" s="79"/>
      <c r="J8" s="79"/>
      <c r="K8" s="79"/>
      <c r="N8" s="59" t="s">
        <v>50</v>
      </c>
      <c r="O8" s="60">
        <f>O7</f>
        <v>191</v>
      </c>
      <c r="P8" s="62">
        <f>O8*S7</f>
        <v>64.94</v>
      </c>
      <c r="Q8" s="62">
        <f>P8*R7</f>
        <v>921.57499999999993</v>
      </c>
      <c r="R8" s="520"/>
      <c r="S8" s="520"/>
    </row>
    <row r="9" spans="1:19">
      <c r="A9" s="159"/>
      <c r="B9" s="369"/>
      <c r="C9" s="396"/>
      <c r="D9" s="81"/>
      <c r="E9" s="81"/>
      <c r="F9" s="81"/>
      <c r="G9" s="81"/>
      <c r="H9" s="81"/>
      <c r="I9" s="79"/>
      <c r="J9" s="79"/>
      <c r="K9" s="79"/>
      <c r="N9" s="521" t="s">
        <v>51</v>
      </c>
      <c r="O9" s="516"/>
      <c r="P9" s="516"/>
      <c r="Q9" s="516"/>
      <c r="R9" s="516"/>
      <c r="S9" s="511"/>
    </row>
    <row r="10" spans="1:19">
      <c r="A10" s="80"/>
      <c r="B10" s="372"/>
      <c r="C10" s="397"/>
      <c r="D10" s="81"/>
      <c r="E10" s="81"/>
      <c r="F10" s="81"/>
      <c r="G10" s="81"/>
      <c r="H10" s="81"/>
      <c r="I10" s="79"/>
      <c r="J10" s="79"/>
      <c r="K10" s="79"/>
      <c r="N10" s="521" t="s">
        <v>52</v>
      </c>
      <c r="O10" s="516"/>
      <c r="P10" s="511"/>
      <c r="Q10" s="521" t="s">
        <v>53</v>
      </c>
      <c r="R10" s="516"/>
      <c r="S10" s="511"/>
    </row>
    <row r="11" spans="1:19">
      <c r="A11" s="80"/>
      <c r="B11" s="352"/>
      <c r="C11" s="398"/>
      <c r="D11" s="81"/>
      <c r="E11" s="81"/>
      <c r="F11" s="81"/>
      <c r="G11" s="81"/>
      <c r="H11" s="81"/>
      <c r="I11" s="79"/>
      <c r="J11" s="79"/>
      <c r="K11" s="79"/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.75">
      <c r="A12" s="378"/>
      <c r="B12" s="353"/>
      <c r="C12" s="401"/>
      <c r="D12" s="81"/>
      <c r="E12" s="81"/>
      <c r="F12" s="81"/>
      <c r="G12" s="81"/>
      <c r="H12" s="81"/>
      <c r="I12" s="79"/>
      <c r="J12" s="79"/>
      <c r="K12" s="79"/>
      <c r="N12" s="63">
        <v>1</v>
      </c>
      <c r="O12" s="64">
        <v>30</v>
      </c>
      <c r="P12" s="65">
        <f>O12*R7</f>
        <v>425.73529411764707</v>
      </c>
      <c r="Q12" s="63">
        <v>3</v>
      </c>
      <c r="R12" s="64">
        <v>30</v>
      </c>
      <c r="S12" s="65">
        <f>R12*R7</f>
        <v>425.73529411764707</v>
      </c>
    </row>
    <row r="13" spans="1:19" ht="15.75">
      <c r="A13" s="80"/>
      <c r="B13" s="360"/>
      <c r="C13" s="401"/>
      <c r="D13" s="81"/>
      <c r="E13" s="81"/>
      <c r="F13" s="81"/>
      <c r="G13" s="81"/>
      <c r="H13" s="81"/>
      <c r="I13" s="79"/>
      <c r="J13" s="79"/>
      <c r="K13" s="79"/>
      <c r="N13" s="63">
        <v>2</v>
      </c>
      <c r="O13" s="64">
        <v>33</v>
      </c>
      <c r="P13" s="65">
        <f>O13*R7</f>
        <v>468.30882352941177</v>
      </c>
      <c r="Q13" s="63">
        <v>4</v>
      </c>
      <c r="R13" s="64">
        <v>38</v>
      </c>
      <c r="S13" s="65">
        <f>R7*R13</f>
        <v>539.26470588235293</v>
      </c>
    </row>
    <row r="14" spans="1:19" ht="15.75">
      <c r="A14" s="362"/>
      <c r="B14" s="361"/>
      <c r="C14" s="402"/>
      <c r="D14" s="81"/>
      <c r="E14" s="81"/>
      <c r="F14" s="81"/>
      <c r="G14" s="81"/>
      <c r="H14" s="81"/>
      <c r="I14" s="79"/>
      <c r="J14" s="79"/>
      <c r="K14" s="79"/>
      <c r="N14" s="63">
        <v>3</v>
      </c>
      <c r="O14" s="64">
        <v>33</v>
      </c>
      <c r="P14" s="65">
        <f>R7*O14</f>
        <v>468.30882352941177</v>
      </c>
      <c r="Q14" s="63">
        <v>5</v>
      </c>
      <c r="R14" s="64">
        <v>0</v>
      </c>
      <c r="S14" s="65">
        <f>R14*R7</f>
        <v>0</v>
      </c>
    </row>
    <row r="15" spans="1:19" ht="15.75">
      <c r="A15" s="80"/>
      <c r="B15" s="407"/>
      <c r="C15" s="402"/>
      <c r="D15" s="81"/>
      <c r="E15" s="81"/>
      <c r="F15" s="81"/>
      <c r="G15" s="81"/>
      <c r="H15" s="81"/>
      <c r="I15" s="79"/>
      <c r="J15" s="79"/>
      <c r="K15" s="79"/>
      <c r="N15" s="63">
        <v>4</v>
      </c>
      <c r="O15" s="64">
        <v>33</v>
      </c>
      <c r="P15" s="65">
        <f>R7*O15</f>
        <v>468.30882352941177</v>
      </c>
      <c r="Q15" s="63">
        <v>1</v>
      </c>
      <c r="R15" s="64">
        <v>0</v>
      </c>
      <c r="S15" s="65">
        <f>R7*R15</f>
        <v>0</v>
      </c>
    </row>
    <row r="16" spans="1:19" ht="15.75">
      <c r="A16" s="125"/>
      <c r="B16" s="203"/>
      <c r="C16" s="404"/>
      <c r="D16" s="220"/>
      <c r="E16" s="81"/>
      <c r="F16" s="81"/>
      <c r="G16" s="81"/>
      <c r="H16" s="81"/>
      <c r="I16" s="79"/>
      <c r="J16" s="79"/>
      <c r="K16" s="79"/>
      <c r="N16" s="63">
        <v>5</v>
      </c>
      <c r="O16" s="64">
        <v>0</v>
      </c>
      <c r="P16" s="65">
        <f>R7*O16</f>
        <v>0</v>
      </c>
      <c r="Q16" s="63"/>
      <c r="R16" s="64">
        <v>0</v>
      </c>
      <c r="S16" s="65">
        <f>R7*R16</f>
        <v>0</v>
      </c>
    </row>
    <row r="17" spans="1:19" ht="15.75">
      <c r="A17" s="80"/>
      <c r="B17" s="270"/>
      <c r="C17" s="407"/>
      <c r="D17" s="81"/>
      <c r="E17" s="81"/>
      <c r="F17" s="81"/>
      <c r="G17" s="81"/>
      <c r="H17" s="81"/>
      <c r="I17" s="79"/>
      <c r="J17" s="79"/>
      <c r="K17" s="79"/>
      <c r="N17" s="63">
        <v>6</v>
      </c>
      <c r="O17" s="64">
        <v>0</v>
      </c>
      <c r="P17" s="65">
        <f>R7*O17</f>
        <v>0</v>
      </c>
      <c r="Q17" s="63"/>
      <c r="R17" s="64">
        <v>0</v>
      </c>
      <c r="S17" s="65">
        <f>R7*R17</f>
        <v>0</v>
      </c>
    </row>
    <row r="18" spans="1:19" ht="15.75">
      <c r="A18" s="80"/>
      <c r="B18" s="407"/>
      <c r="C18" s="407"/>
      <c r="D18" s="81"/>
      <c r="E18" s="81"/>
      <c r="F18" s="81"/>
      <c r="G18" s="81"/>
      <c r="H18" s="81"/>
      <c r="I18" s="79"/>
      <c r="J18" s="79"/>
      <c r="K18" s="79"/>
      <c r="N18" s="63">
        <v>7</v>
      </c>
      <c r="O18" s="64">
        <v>0</v>
      </c>
      <c r="P18" s="65">
        <f>R7*O18</f>
        <v>0</v>
      </c>
      <c r="Q18" s="63"/>
      <c r="R18" s="64">
        <v>0</v>
      </c>
      <c r="S18" s="65">
        <f>R7*R18</f>
        <v>0</v>
      </c>
    </row>
    <row r="19" spans="1:19" ht="15.75">
      <c r="A19" s="80"/>
      <c r="B19" s="204"/>
      <c r="C19" s="409"/>
      <c r="D19" s="81"/>
      <c r="E19" s="81"/>
      <c r="F19" s="81"/>
      <c r="G19" s="81"/>
      <c r="H19" s="81"/>
      <c r="I19" s="79"/>
      <c r="J19" s="79"/>
      <c r="K19" s="79"/>
      <c r="N19" s="63">
        <v>8</v>
      </c>
      <c r="O19" s="64">
        <v>0</v>
      </c>
      <c r="P19" s="65">
        <f>R7*O19</f>
        <v>0</v>
      </c>
      <c r="Q19" s="63"/>
      <c r="R19" s="64">
        <v>0</v>
      </c>
      <c r="S19" s="65">
        <f>R7*R19</f>
        <v>0</v>
      </c>
    </row>
    <row r="20" spans="1:19" ht="15.75">
      <c r="A20" s="80"/>
      <c r="B20" s="81"/>
      <c r="C20" s="252"/>
      <c r="D20" s="81"/>
      <c r="E20" s="81"/>
      <c r="F20" s="81"/>
      <c r="G20" s="81"/>
      <c r="H20" s="81"/>
      <c r="I20" s="79"/>
      <c r="J20" s="79"/>
      <c r="K20" s="79"/>
      <c r="N20" s="63">
        <v>9</v>
      </c>
      <c r="O20" s="64">
        <v>0</v>
      </c>
      <c r="P20" s="65">
        <f>R7*O20</f>
        <v>0</v>
      </c>
      <c r="Q20" s="63"/>
      <c r="R20" s="64">
        <v>0</v>
      </c>
      <c r="S20" s="65">
        <f>R7*R20</f>
        <v>0</v>
      </c>
    </row>
    <row r="21" spans="1:19" ht="15.75" customHeight="1">
      <c r="A21" s="80"/>
      <c r="B21" s="171"/>
      <c r="C21" s="253"/>
      <c r="D21" s="81"/>
      <c r="E21" s="81"/>
      <c r="F21" s="81"/>
      <c r="G21" s="81"/>
      <c r="H21" s="81"/>
      <c r="I21" s="79"/>
      <c r="J21" s="79"/>
      <c r="K21" s="79"/>
      <c r="N21" s="68" t="s">
        <v>53</v>
      </c>
      <c r="O21" s="64">
        <v>0</v>
      </c>
      <c r="P21" s="65">
        <f>R7*O21</f>
        <v>0</v>
      </c>
      <c r="Q21" s="63"/>
      <c r="R21" s="64"/>
      <c r="S21" s="65">
        <f>R7*R21</f>
        <v>0</v>
      </c>
    </row>
    <row r="22" spans="1:19" ht="15.75" customHeight="1">
      <c r="A22" s="80"/>
      <c r="B22" s="81"/>
      <c r="C22" s="254"/>
      <c r="D22" s="81"/>
      <c r="E22" s="81"/>
      <c r="F22" s="81"/>
      <c r="G22" s="81"/>
      <c r="H22" s="81"/>
      <c r="I22" s="79"/>
      <c r="J22" s="79"/>
      <c r="K22" s="79"/>
      <c r="N22" s="59" t="s">
        <v>59</v>
      </c>
      <c r="O22" s="69">
        <f>P8-O12-O13-O14-O15-O16-O17-O18-O19-O20-O21</f>
        <v>-64.06</v>
      </c>
      <c r="P22" s="69">
        <f>Q8-P12-P13-P14-P15-P16-P17-P18-P19-P20-P21</f>
        <v>-909.08676470588239</v>
      </c>
      <c r="Q22" s="59" t="s">
        <v>59</v>
      </c>
      <c r="R22" s="69">
        <f>P8-R12-R13-R14-R15-R16-R17-R18-R19-R20-R21</f>
        <v>-3.0600000000000023</v>
      </c>
      <c r="S22" s="69">
        <f>Q8-S12-S13-S14-S15-S16-S17-S18-S19-S20-S21</f>
        <v>-43.425000000000068</v>
      </c>
    </row>
    <row r="23" spans="1:19" ht="15.75" customHeight="1">
      <c r="A23" s="231"/>
      <c r="B23" s="81"/>
      <c r="C23" s="240"/>
      <c r="D23" s="81"/>
      <c r="E23" s="81"/>
      <c r="F23" s="81"/>
      <c r="G23" s="81"/>
      <c r="H23" s="81"/>
      <c r="I23" s="79"/>
      <c r="J23" s="79"/>
      <c r="K23" s="79"/>
      <c r="N23" s="59" t="s">
        <v>60</v>
      </c>
      <c r="O23" s="62">
        <f>O12+O13+O14+O15+O16+O17+O18+O19+O20+O21</f>
        <v>129</v>
      </c>
      <c r="P23" s="62">
        <f>P12+P13+P14+P15+P16+P17+P18+P19+P20+P21</f>
        <v>1830.6617647058822</v>
      </c>
      <c r="Q23" s="59" t="s">
        <v>60</v>
      </c>
      <c r="R23" s="62">
        <f>R12+R13+R14+R15+R16+R17+R18+R19+R20+R21</f>
        <v>68</v>
      </c>
      <c r="S23" s="62">
        <f>S12+S13+S14+S15+S16+S17+S18+S19+S20+S21</f>
        <v>965</v>
      </c>
    </row>
    <row r="24" spans="1:19" ht="15.75" customHeight="1">
      <c r="A24" s="80"/>
      <c r="B24" s="81"/>
      <c r="C24" s="245"/>
      <c r="D24" s="81"/>
      <c r="E24" s="81"/>
      <c r="F24" s="81"/>
      <c r="G24" s="81"/>
      <c r="H24" s="81"/>
      <c r="I24" s="79"/>
      <c r="J24" s="79"/>
      <c r="K24" s="79"/>
    </row>
    <row r="25" spans="1:19" ht="15.75" customHeight="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</row>
    <row r="26" spans="1:19" ht="15.75" customHeight="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</row>
    <row r="27" spans="1:19" ht="15.75" customHeight="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</row>
    <row r="28" spans="1:19" ht="15.75" customHeight="1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</row>
    <row r="29" spans="1:19" ht="15.75" customHeight="1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</row>
    <row r="30" spans="1:19" ht="15.75" customHeight="1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</row>
    <row r="31" spans="1:19" ht="15.75" customHeight="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</row>
    <row r="32" spans="1:19" ht="15.75" customHeight="1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</row>
    <row r="33" spans="1:11" ht="15.75" customHeight="1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</row>
    <row r="34" spans="1:11" ht="15.75" customHeight="1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</row>
    <row r="35" spans="1:11" ht="15.75" customHeight="1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</row>
    <row r="36" spans="1:11" ht="15.75" customHeight="1"/>
    <row r="37" spans="1:11" ht="15.75" customHeight="1"/>
    <row r="38" spans="1:11" ht="15.75" customHeight="1"/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67"/>
      <c r="O55" s="67"/>
      <c r="P55" s="67"/>
      <c r="Q55" s="67"/>
      <c r="R55" s="67"/>
      <c r="S55" s="67"/>
    </row>
    <row r="56" spans="14:19" ht="15.75" customHeight="1">
      <c r="N56" s="72"/>
      <c r="O56" s="72"/>
      <c r="P56" s="72"/>
      <c r="Q56" s="72"/>
      <c r="R56" s="72"/>
      <c r="S56" s="7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91.xml><?xml version="1.0" encoding="utf-8"?>
<worksheet xmlns="http://schemas.openxmlformats.org/spreadsheetml/2006/main" xmlns:r="http://schemas.openxmlformats.org/officeDocument/2006/relationships">
  <sheetPr codeName="Лист60"/>
  <dimension ref="A1:S1000"/>
  <sheetViews>
    <sheetView workbookViewId="0">
      <selection activeCell="K9" sqref="K9:K10"/>
    </sheetView>
  </sheetViews>
  <sheetFormatPr defaultColWidth="14.42578125" defaultRowHeight="15" customHeight="1"/>
  <cols>
    <col min="1" max="1" width="11.140625" style="49" customWidth="1"/>
    <col min="2" max="8" width="8.7109375" style="49" customWidth="1"/>
    <col min="9" max="9" width="14" style="49" customWidth="1"/>
    <col min="10" max="10" width="15.5703125" style="49" customWidth="1"/>
    <col min="11" max="11" width="12.85546875" style="49" customWidth="1"/>
    <col min="12" max="13" width="8.7109375" style="49" customWidth="1"/>
    <col min="14" max="14" width="12" style="49" customWidth="1"/>
    <col min="15" max="15" width="11.5703125" style="49" customWidth="1"/>
    <col min="16" max="16" width="13.5703125" style="49" customWidth="1"/>
    <col min="17" max="17" width="12" style="49" customWidth="1"/>
    <col min="18" max="18" width="10.42578125" style="49" customWidth="1"/>
    <col min="19" max="19" width="12.7109375" style="49" customWidth="1"/>
    <col min="20" max="16384" width="14.42578125" style="49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214</v>
      </c>
    </row>
    <row r="3" spans="1:19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9">
      <c r="A4" s="73" t="s">
        <v>66</v>
      </c>
      <c r="B4" s="73" t="s">
        <v>29</v>
      </c>
      <c r="C4" s="510">
        <f>AVERAGEA(I7:I40)</f>
        <v>0.49758682156698625</v>
      </c>
      <c r="D4" s="511"/>
      <c r="E4" s="510">
        <f>AVERAGEA(J7:J40)</f>
        <v>13.799839221153977</v>
      </c>
      <c r="F4" s="511"/>
      <c r="G4" s="510">
        <f>AVERAGEA(K7:K40)</f>
        <v>1.2636966450692459</v>
      </c>
      <c r="H4" s="511"/>
      <c r="I4" s="74">
        <f>K2*C4</f>
        <v>106.48357981533506</v>
      </c>
      <c r="J4" s="74">
        <f>I4*E4</f>
        <v>1469.4562811445408</v>
      </c>
      <c r="K4" s="74">
        <f>K2*G4</f>
        <v>270.43108204481865</v>
      </c>
    </row>
    <row r="5" spans="1:19" ht="15" customHeight="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  <c r="N6" s="520"/>
      <c r="O6" s="520"/>
      <c r="P6" s="520"/>
      <c r="Q6" s="520"/>
      <c r="R6" s="520"/>
      <c r="S6" s="520"/>
    </row>
    <row r="7" spans="1:19" ht="15.75">
      <c r="A7" s="77">
        <v>46207</v>
      </c>
      <c r="B7" s="78">
        <v>417</v>
      </c>
      <c r="C7" s="78" t="s">
        <v>104</v>
      </c>
      <c r="D7" s="78">
        <v>292</v>
      </c>
      <c r="E7" s="78">
        <v>68</v>
      </c>
      <c r="F7" s="78">
        <v>199</v>
      </c>
      <c r="G7" s="78">
        <v>2692</v>
      </c>
      <c r="H7" s="78">
        <v>702</v>
      </c>
      <c r="I7" s="79">
        <f t="shared" ref="I7:I10" si="0">F7/(D7+E7)</f>
        <v>0.55277777777777781</v>
      </c>
      <c r="J7" s="79">
        <f t="shared" ref="J7:J10" si="1">G7/F7</f>
        <v>13.527638190954773</v>
      </c>
      <c r="K7" s="79">
        <f t="shared" ref="K7:K10" si="2">H7/(D7+E7)</f>
        <v>1.95</v>
      </c>
      <c r="N7" s="59" t="s">
        <v>49</v>
      </c>
      <c r="O7" s="60">
        <f>K2</f>
        <v>214</v>
      </c>
      <c r="P7" s="61">
        <f>I4</f>
        <v>106.48357981533506</v>
      </c>
      <c r="Q7" s="61">
        <f>J4</f>
        <v>1469.4562811445408</v>
      </c>
      <c r="R7" s="539">
        <f>Q7/P7</f>
        <v>13.799839221153977</v>
      </c>
      <c r="S7" s="539">
        <f>P7/O7</f>
        <v>0.49758682156698625</v>
      </c>
    </row>
    <row r="8" spans="1:19" ht="15.75">
      <c r="A8" s="80">
        <v>46210</v>
      </c>
      <c r="B8" s="183">
        <v>417</v>
      </c>
      <c r="C8" s="430" t="s">
        <v>104</v>
      </c>
      <c r="D8" s="81">
        <v>294</v>
      </c>
      <c r="E8" s="81">
        <v>55</v>
      </c>
      <c r="F8" s="81">
        <v>169</v>
      </c>
      <c r="G8" s="81">
        <v>2414</v>
      </c>
      <c r="H8" s="81">
        <v>493</v>
      </c>
      <c r="I8" s="79">
        <f t="shared" si="0"/>
        <v>0.48424068767908307</v>
      </c>
      <c r="J8" s="79">
        <f t="shared" si="1"/>
        <v>14.284023668639053</v>
      </c>
      <c r="K8" s="79">
        <f t="shared" si="2"/>
        <v>1.4126074498567336</v>
      </c>
      <c r="N8" s="59" t="s">
        <v>50</v>
      </c>
      <c r="O8" s="60">
        <f>O7</f>
        <v>214</v>
      </c>
      <c r="P8" s="62">
        <f>O8*S7</f>
        <v>106.48357981533506</v>
      </c>
      <c r="Q8" s="62">
        <f>P8*R7</f>
        <v>1469.4562811445408</v>
      </c>
      <c r="R8" s="520"/>
      <c r="S8" s="520"/>
    </row>
    <row r="9" spans="1:19">
      <c r="A9" s="80">
        <v>46214</v>
      </c>
      <c r="B9" s="184">
        <v>417</v>
      </c>
      <c r="C9" s="435" t="s">
        <v>104</v>
      </c>
      <c r="D9" s="81">
        <v>285</v>
      </c>
      <c r="E9" s="81">
        <v>54</v>
      </c>
      <c r="F9" s="81">
        <v>158</v>
      </c>
      <c r="G9" s="81">
        <v>2152</v>
      </c>
      <c r="H9" s="81">
        <v>323</v>
      </c>
      <c r="I9" s="79">
        <f t="shared" si="0"/>
        <v>0.46607669616519176</v>
      </c>
      <c r="J9" s="79">
        <f t="shared" si="1"/>
        <v>13.620253164556962</v>
      </c>
      <c r="K9" s="79">
        <f t="shared" si="2"/>
        <v>0.9528023598820059</v>
      </c>
      <c r="N9" s="521" t="s">
        <v>51</v>
      </c>
      <c r="O9" s="516"/>
      <c r="P9" s="516"/>
      <c r="Q9" s="516"/>
      <c r="R9" s="516"/>
      <c r="S9" s="511"/>
    </row>
    <row r="10" spans="1:19">
      <c r="A10" s="80">
        <v>46217</v>
      </c>
      <c r="B10" s="173">
        <v>417</v>
      </c>
      <c r="C10" s="440" t="s">
        <v>104</v>
      </c>
      <c r="D10" s="81">
        <v>286</v>
      </c>
      <c r="E10" s="81">
        <v>67</v>
      </c>
      <c r="F10" s="81">
        <v>172</v>
      </c>
      <c r="G10" s="81">
        <v>2368</v>
      </c>
      <c r="H10" s="81">
        <v>261</v>
      </c>
      <c r="I10" s="79">
        <f t="shared" si="0"/>
        <v>0.48725212464589235</v>
      </c>
      <c r="J10" s="79">
        <f t="shared" si="1"/>
        <v>13.767441860465116</v>
      </c>
      <c r="K10" s="79">
        <f t="shared" si="2"/>
        <v>0.73937677053824358</v>
      </c>
      <c r="N10" s="521" t="s">
        <v>52</v>
      </c>
      <c r="O10" s="516"/>
      <c r="P10" s="511"/>
      <c r="Q10" s="521" t="s">
        <v>53</v>
      </c>
      <c r="R10" s="516"/>
      <c r="S10" s="511"/>
    </row>
    <row r="11" spans="1:19">
      <c r="A11" s="80"/>
      <c r="B11" s="258"/>
      <c r="C11" s="399"/>
      <c r="D11" s="81"/>
      <c r="E11" s="81"/>
      <c r="F11" s="81"/>
      <c r="G11" s="81"/>
      <c r="H11" s="81"/>
      <c r="I11" s="79"/>
      <c r="J11" s="79"/>
      <c r="K11" s="79"/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.75">
      <c r="A12" s="223"/>
      <c r="B12" s="186"/>
      <c r="C12" s="401"/>
      <c r="D12" s="81"/>
      <c r="E12" s="81"/>
      <c r="F12" s="81"/>
      <c r="G12" s="81"/>
      <c r="H12" s="81"/>
      <c r="I12" s="79"/>
      <c r="J12" s="79"/>
      <c r="K12" s="79"/>
      <c r="N12" s="63">
        <v>1</v>
      </c>
      <c r="O12" s="64">
        <v>30</v>
      </c>
      <c r="P12" s="65">
        <f>O12*R7</f>
        <v>413.99517663461933</v>
      </c>
      <c r="Q12" s="63">
        <v>3</v>
      </c>
      <c r="R12" s="64">
        <v>40</v>
      </c>
      <c r="S12" s="65">
        <f>R12*R7</f>
        <v>551.99356884615906</v>
      </c>
    </row>
    <row r="13" spans="1:19" ht="15.75">
      <c r="A13" s="80"/>
      <c r="B13" s="320"/>
      <c r="C13" s="402"/>
      <c r="D13" s="81"/>
      <c r="E13" s="81"/>
      <c r="F13" s="81"/>
      <c r="G13" s="81"/>
      <c r="H13" s="81"/>
      <c r="I13" s="79"/>
      <c r="J13" s="79"/>
      <c r="K13" s="79"/>
      <c r="N13" s="63">
        <v>2</v>
      </c>
      <c r="O13" s="64">
        <v>30</v>
      </c>
      <c r="P13" s="65">
        <f>O13*R7</f>
        <v>413.99517663461933</v>
      </c>
      <c r="Q13" s="63">
        <v>4</v>
      </c>
      <c r="R13" s="64">
        <v>40</v>
      </c>
      <c r="S13" s="65">
        <f>R7*R13</f>
        <v>551.99356884615906</v>
      </c>
    </row>
    <row r="14" spans="1:19" ht="15.75">
      <c r="A14" s="80"/>
      <c r="B14" s="305"/>
      <c r="C14" s="402"/>
      <c r="D14" s="81"/>
      <c r="E14" s="81"/>
      <c r="F14" s="81"/>
      <c r="G14" s="81"/>
      <c r="H14" s="81"/>
      <c r="I14" s="79"/>
      <c r="J14" s="79"/>
      <c r="K14" s="79"/>
      <c r="N14" s="63">
        <v>3</v>
      </c>
      <c r="O14" s="64">
        <v>30</v>
      </c>
      <c r="P14" s="65">
        <f>R7*O14</f>
        <v>413.99517663461933</v>
      </c>
      <c r="Q14" s="63">
        <v>5</v>
      </c>
      <c r="R14" s="64">
        <v>8</v>
      </c>
      <c r="S14" s="65">
        <f>R14*R7</f>
        <v>110.39871376923182</v>
      </c>
    </row>
    <row r="15" spans="1:19" ht="15.75">
      <c r="A15" s="80"/>
      <c r="B15" s="349"/>
      <c r="C15" s="407"/>
      <c r="D15" s="81"/>
      <c r="E15" s="81"/>
      <c r="F15" s="81"/>
      <c r="G15" s="81"/>
      <c r="H15" s="81"/>
      <c r="I15" s="79"/>
      <c r="J15" s="79"/>
      <c r="K15" s="79"/>
      <c r="N15" s="63">
        <v>4</v>
      </c>
      <c r="O15" s="64">
        <v>30</v>
      </c>
      <c r="P15" s="65">
        <f>R7*O15</f>
        <v>413.99517663461933</v>
      </c>
      <c r="Q15" s="63">
        <v>1</v>
      </c>
      <c r="R15" s="64">
        <v>0</v>
      </c>
      <c r="S15" s="65">
        <f>R7*R15</f>
        <v>0</v>
      </c>
    </row>
    <row r="16" spans="1:19" ht="15.75">
      <c r="A16" s="80"/>
      <c r="B16" s="392"/>
      <c r="C16" s="407"/>
      <c r="D16" s="81"/>
      <c r="E16" s="81"/>
      <c r="F16" s="81"/>
      <c r="G16" s="81"/>
      <c r="H16" s="81"/>
      <c r="I16" s="79"/>
      <c r="J16" s="79"/>
      <c r="K16" s="79"/>
      <c r="N16" s="63">
        <v>5</v>
      </c>
      <c r="O16" s="64"/>
      <c r="P16" s="65">
        <f>R7*O16</f>
        <v>0</v>
      </c>
      <c r="Q16" s="63"/>
      <c r="R16" s="64">
        <v>0</v>
      </c>
      <c r="S16" s="65">
        <f>R7*R16</f>
        <v>0</v>
      </c>
    </row>
    <row r="17" spans="1:19" ht="15.75">
      <c r="A17" s="80"/>
      <c r="B17" s="191"/>
      <c r="C17" s="409"/>
      <c r="D17" s="81"/>
      <c r="E17" s="81"/>
      <c r="F17" s="81"/>
      <c r="G17" s="81"/>
      <c r="H17" s="81"/>
      <c r="I17" s="79"/>
      <c r="J17" s="79"/>
      <c r="K17" s="79"/>
      <c r="N17" s="63">
        <v>6</v>
      </c>
      <c r="O17" s="64">
        <v>0</v>
      </c>
      <c r="P17" s="65">
        <f>R7*O17</f>
        <v>0</v>
      </c>
      <c r="Q17" s="63"/>
      <c r="R17" s="64">
        <v>0</v>
      </c>
      <c r="S17" s="65">
        <f>R7*R17</f>
        <v>0</v>
      </c>
    </row>
    <row r="18" spans="1:19" ht="15.75">
      <c r="A18" s="80"/>
      <c r="B18" s="191"/>
      <c r="C18" s="413"/>
      <c r="D18" s="81"/>
      <c r="E18" s="81"/>
      <c r="F18" s="81"/>
      <c r="G18" s="81"/>
      <c r="H18" s="81"/>
      <c r="I18" s="79"/>
      <c r="J18" s="79"/>
      <c r="K18" s="79"/>
      <c r="N18" s="63">
        <v>7</v>
      </c>
      <c r="O18" s="64">
        <v>0</v>
      </c>
      <c r="P18" s="65">
        <f>R7*O18</f>
        <v>0</v>
      </c>
      <c r="Q18" s="63"/>
      <c r="R18" s="64">
        <v>0</v>
      </c>
      <c r="S18" s="65">
        <f>R7*R18</f>
        <v>0</v>
      </c>
    </row>
    <row r="19" spans="1:19" ht="15.75">
      <c r="A19" s="80"/>
      <c r="B19" s="181"/>
      <c r="C19" s="417"/>
      <c r="D19" s="81"/>
      <c r="E19" s="81"/>
      <c r="F19" s="81"/>
      <c r="G19" s="81"/>
      <c r="H19" s="81"/>
      <c r="I19" s="79"/>
      <c r="J19" s="79"/>
      <c r="K19" s="79"/>
      <c r="N19" s="63">
        <v>8</v>
      </c>
      <c r="O19" s="64">
        <v>0</v>
      </c>
      <c r="P19" s="65">
        <f>R8*O19</f>
        <v>0</v>
      </c>
      <c r="Q19" s="63"/>
      <c r="R19" s="64">
        <v>0</v>
      </c>
      <c r="S19" s="65">
        <f>R7*R19</f>
        <v>0</v>
      </c>
    </row>
    <row r="20" spans="1:19" ht="15.75">
      <c r="A20" s="80"/>
      <c r="B20" s="194"/>
      <c r="C20" s="358"/>
      <c r="D20" s="81"/>
      <c r="E20" s="81"/>
      <c r="F20" s="81"/>
      <c r="G20" s="81"/>
      <c r="H20" s="81"/>
      <c r="I20" s="79"/>
      <c r="J20" s="79"/>
      <c r="K20" s="79"/>
      <c r="N20" s="63">
        <v>9</v>
      </c>
      <c r="O20" s="64">
        <v>0</v>
      </c>
      <c r="P20" s="65">
        <f>R9*O20</f>
        <v>0</v>
      </c>
      <c r="Q20" s="63"/>
      <c r="R20" s="64">
        <v>0</v>
      </c>
      <c r="S20" s="65">
        <f>R7*R20</f>
        <v>0</v>
      </c>
    </row>
    <row r="21" spans="1:19" ht="15.75" customHeight="1">
      <c r="A21" s="80"/>
      <c r="B21" s="182"/>
      <c r="C21" s="360"/>
      <c r="D21" s="81"/>
      <c r="E21" s="81"/>
      <c r="F21" s="81"/>
      <c r="G21" s="81"/>
      <c r="H21" s="81"/>
      <c r="I21" s="79"/>
      <c r="J21" s="79"/>
      <c r="K21" s="79"/>
      <c r="N21" s="68" t="s">
        <v>53</v>
      </c>
      <c r="O21" s="64">
        <v>0</v>
      </c>
      <c r="P21" s="65">
        <f>R10*O21</f>
        <v>0</v>
      </c>
      <c r="Q21" s="63"/>
      <c r="R21" s="64"/>
      <c r="S21" s="65">
        <f>R7*R21</f>
        <v>0</v>
      </c>
    </row>
    <row r="22" spans="1:19" ht="15.75" customHeight="1">
      <c r="A22" s="80"/>
      <c r="B22" s="363"/>
      <c r="C22" s="363"/>
      <c r="D22" s="81"/>
      <c r="E22" s="81"/>
      <c r="F22" s="81"/>
      <c r="G22" s="81"/>
      <c r="H22" s="81"/>
      <c r="I22" s="79"/>
      <c r="J22" s="79"/>
      <c r="K22" s="79"/>
      <c r="N22" s="59" t="s">
        <v>59</v>
      </c>
      <c r="O22" s="69">
        <f>P8-O12-O13-O14-O15-O16-O17-O18-O19-O20-O21</f>
        <v>-13.516420184664938</v>
      </c>
      <c r="P22" s="69">
        <f>Q8-P12-P13-P14-P15-P16-P17-P18-P19-P20-P21</f>
        <v>-186.52442539393667</v>
      </c>
      <c r="Q22" s="59" t="s">
        <v>59</v>
      </c>
      <c r="R22" s="69">
        <f>P8-R12-R13-R14-R15-R16-R17-R18-R19-R20-R21</f>
        <v>18.483579815335062</v>
      </c>
      <c r="S22" s="69">
        <f>Q8-S12-S13-S14-S15-S16-S17-S18-S19-S20-S21</f>
        <v>255.07042968299081</v>
      </c>
    </row>
    <row r="23" spans="1:19" ht="15.75" customHeight="1">
      <c r="A23" s="80"/>
      <c r="B23" s="333"/>
      <c r="C23" s="364"/>
      <c r="D23" s="81"/>
      <c r="E23" s="81"/>
      <c r="F23" s="81"/>
      <c r="G23" s="81"/>
      <c r="H23" s="81"/>
      <c r="I23" s="79"/>
      <c r="J23" s="79"/>
      <c r="K23" s="79"/>
      <c r="N23" s="59" t="s">
        <v>60</v>
      </c>
      <c r="O23" s="62">
        <f>O12+O13+O14+O15+O16+O17+O18+O19+O20+O21</f>
        <v>120</v>
      </c>
      <c r="P23" s="62">
        <f>P12+P13+P14+P15+P16+P17+P18+P19+P20+P21</f>
        <v>1655.9807065384773</v>
      </c>
      <c r="Q23" s="59" t="s">
        <v>60</v>
      </c>
      <c r="R23" s="62">
        <f>R12+R13+R14+R15+R16+R17+R18+R19+R20+R21</f>
        <v>88</v>
      </c>
      <c r="S23" s="62">
        <f>S12+S13+S14+S15+S16+S17+S18+S19+S20+S21</f>
        <v>1214.3858514615499</v>
      </c>
    </row>
    <row r="24" spans="1:19" ht="15.75" customHeight="1">
      <c r="A24" s="80"/>
      <c r="B24" s="368"/>
      <c r="C24" s="368"/>
      <c r="D24" s="81"/>
      <c r="E24" s="81"/>
      <c r="F24" s="81"/>
      <c r="G24" s="81"/>
      <c r="H24" s="81"/>
      <c r="I24" s="79"/>
      <c r="J24" s="79"/>
      <c r="K24" s="79"/>
    </row>
    <row r="25" spans="1:19" ht="15.75" customHeight="1">
      <c r="A25" s="80"/>
      <c r="B25" s="171"/>
      <c r="C25" s="252"/>
      <c r="D25" s="81"/>
      <c r="E25" s="81"/>
      <c r="F25" s="81"/>
      <c r="G25" s="81"/>
      <c r="H25" s="81"/>
      <c r="I25" s="79"/>
      <c r="J25" s="79"/>
      <c r="K25" s="79"/>
    </row>
    <row r="26" spans="1:19" ht="15.75" customHeight="1">
      <c r="A26" s="80"/>
      <c r="B26" s="121"/>
      <c r="C26" s="252"/>
      <c r="D26" s="81"/>
      <c r="E26" s="81"/>
      <c r="F26" s="81"/>
      <c r="G26" s="81"/>
      <c r="H26" s="81"/>
      <c r="I26" s="79"/>
      <c r="J26" s="79"/>
      <c r="K26" s="79"/>
    </row>
    <row r="27" spans="1:19" ht="15.75" customHeight="1">
      <c r="A27" s="80"/>
      <c r="B27" s="81"/>
      <c r="C27" s="252"/>
      <c r="D27" s="81"/>
      <c r="E27" s="81"/>
      <c r="F27" s="81"/>
      <c r="G27" s="81"/>
      <c r="H27" s="81"/>
      <c r="I27" s="79"/>
      <c r="J27" s="79"/>
      <c r="K27" s="79"/>
    </row>
    <row r="28" spans="1:19" ht="15.75" customHeight="1">
      <c r="A28" s="227"/>
      <c r="B28" s="81"/>
      <c r="C28" s="254"/>
      <c r="D28" s="81"/>
      <c r="E28" s="81"/>
      <c r="F28" s="81"/>
      <c r="G28" s="81"/>
      <c r="H28" s="81"/>
      <c r="I28" s="79"/>
      <c r="J28" s="79"/>
      <c r="K28" s="79"/>
    </row>
    <row r="29" spans="1:19" ht="15.75" customHeight="1">
      <c r="A29" s="80"/>
      <c r="B29" s="81"/>
      <c r="C29" s="254"/>
      <c r="D29" s="81"/>
      <c r="E29" s="81"/>
      <c r="F29" s="81"/>
      <c r="G29" s="81"/>
      <c r="H29" s="81"/>
      <c r="I29" s="79"/>
      <c r="J29" s="79"/>
      <c r="K29" s="79"/>
    </row>
    <row r="30" spans="1:19" ht="15.75" customHeight="1">
      <c r="A30" s="80"/>
      <c r="B30" s="81"/>
      <c r="C30" s="238"/>
      <c r="D30" s="81"/>
      <c r="E30" s="81"/>
      <c r="F30" s="81"/>
      <c r="G30" s="81"/>
      <c r="H30" s="81"/>
      <c r="I30" s="79"/>
      <c r="J30" s="79"/>
      <c r="K30" s="79"/>
    </row>
    <row r="31" spans="1:19" ht="15.75" customHeight="1">
      <c r="A31" s="80"/>
      <c r="B31" s="81"/>
      <c r="C31" s="241"/>
      <c r="D31" s="81"/>
      <c r="E31" s="81"/>
      <c r="F31" s="81"/>
      <c r="G31" s="81"/>
      <c r="H31" s="81"/>
      <c r="I31" s="79"/>
      <c r="J31" s="79"/>
      <c r="K31" s="79"/>
    </row>
    <row r="32" spans="1:19" ht="15.75" customHeight="1">
      <c r="A32" s="80"/>
      <c r="B32" s="81"/>
      <c r="C32" s="245"/>
      <c r="D32" s="81"/>
      <c r="E32" s="81"/>
      <c r="F32" s="81"/>
      <c r="G32" s="81"/>
      <c r="H32" s="81"/>
      <c r="I32" s="79"/>
      <c r="J32" s="79"/>
      <c r="K32" s="79"/>
    </row>
    <row r="33" spans="1:11" ht="15.75" customHeight="1">
      <c r="A33" s="80"/>
      <c r="B33" s="81"/>
      <c r="C33" s="230"/>
      <c r="D33" s="81"/>
      <c r="E33" s="81"/>
      <c r="F33" s="81"/>
      <c r="G33" s="81"/>
      <c r="H33" s="81"/>
      <c r="I33" s="79"/>
      <c r="J33" s="79"/>
      <c r="K33" s="79"/>
    </row>
    <row r="34" spans="1:11" ht="15.75" customHeight="1"/>
    <row r="35" spans="1:11" ht="15.75" customHeight="1"/>
    <row r="36" spans="1:11" ht="15.75" customHeight="1"/>
    <row r="37" spans="1:11" ht="15.75" customHeight="1"/>
    <row r="38" spans="1:11" ht="15.75" customHeight="1"/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67"/>
      <c r="O55" s="67"/>
      <c r="P55" s="67"/>
      <c r="Q55" s="67"/>
      <c r="R55" s="67"/>
      <c r="S55" s="67"/>
    </row>
    <row r="56" spans="14:19" ht="15.75" customHeight="1">
      <c r="N56" s="72"/>
      <c r="O56" s="72"/>
      <c r="P56" s="72"/>
      <c r="Q56" s="72"/>
      <c r="R56" s="72"/>
      <c r="S56" s="7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92.xml><?xml version="1.0" encoding="utf-8"?>
<worksheet xmlns="http://schemas.openxmlformats.org/spreadsheetml/2006/main" xmlns:r="http://schemas.openxmlformats.org/officeDocument/2006/relationships">
  <sheetPr codeName="Лист61"/>
  <dimension ref="A1:S1000"/>
  <sheetViews>
    <sheetView workbookViewId="0">
      <selection activeCell="J16" sqref="J16"/>
    </sheetView>
  </sheetViews>
  <sheetFormatPr defaultColWidth="14.42578125" defaultRowHeight="15" customHeight="1"/>
  <cols>
    <col min="1" max="1" width="10.7109375" style="49" customWidth="1"/>
    <col min="2" max="8" width="8.7109375" style="49" customWidth="1"/>
    <col min="9" max="9" width="14" style="49" customWidth="1"/>
    <col min="10" max="10" width="15.5703125" style="49" customWidth="1"/>
    <col min="11" max="11" width="12.85546875" style="49" customWidth="1"/>
    <col min="12" max="13" width="8.7109375" style="49" customWidth="1"/>
    <col min="14" max="14" width="12" style="49" customWidth="1"/>
    <col min="15" max="15" width="11.5703125" style="49" customWidth="1"/>
    <col min="16" max="16" width="13.5703125" style="49" customWidth="1"/>
    <col min="17" max="17" width="12" style="49" customWidth="1"/>
    <col min="18" max="18" width="10.42578125" style="49" customWidth="1"/>
    <col min="19" max="19" width="12.7109375" style="49" customWidth="1"/>
    <col min="20" max="16384" width="14.42578125" style="49"/>
  </cols>
  <sheetData>
    <row r="1" spans="1:19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9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200</v>
      </c>
    </row>
    <row r="3" spans="1:19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9">
      <c r="A4" s="73" t="s">
        <v>66</v>
      </c>
      <c r="B4" s="73" t="s">
        <v>110</v>
      </c>
      <c r="C4" s="510">
        <f>AVERAGEA(I7:I44)</f>
        <v>0.38500000000000001</v>
      </c>
      <c r="D4" s="511"/>
      <c r="E4" s="510">
        <f>AVERAGEA(J7:J44)</f>
        <v>14.974025974025974</v>
      </c>
      <c r="F4" s="511"/>
      <c r="G4" s="510">
        <f>AVERAGEA(K7:K44)</f>
        <v>2.27</v>
      </c>
      <c r="H4" s="511"/>
      <c r="I4" s="74">
        <f>C4*K2</f>
        <v>77</v>
      </c>
      <c r="J4" s="74">
        <f>I4*E4</f>
        <v>1153</v>
      </c>
      <c r="K4" s="74">
        <f>K2*G4</f>
        <v>454</v>
      </c>
    </row>
    <row r="5" spans="1:19" ht="15" customHeight="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  <c r="N5" s="519" t="s">
        <v>44</v>
      </c>
      <c r="O5" s="538" t="s">
        <v>45</v>
      </c>
      <c r="P5" s="538" t="s">
        <v>46</v>
      </c>
      <c r="Q5" s="538" t="s">
        <v>21</v>
      </c>
      <c r="R5" s="538" t="s">
        <v>47</v>
      </c>
      <c r="S5" s="538" t="s">
        <v>48</v>
      </c>
    </row>
    <row r="6" spans="1:19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  <c r="N6" s="520"/>
      <c r="O6" s="520"/>
      <c r="P6" s="520"/>
      <c r="Q6" s="520"/>
      <c r="R6" s="520"/>
      <c r="S6" s="520"/>
    </row>
    <row r="7" spans="1:19" ht="15.75">
      <c r="A7" s="77">
        <v>46206</v>
      </c>
      <c r="B7" s="78" t="s">
        <v>139</v>
      </c>
      <c r="C7" s="78" t="s">
        <v>73</v>
      </c>
      <c r="D7" s="78">
        <v>156</v>
      </c>
      <c r="E7" s="78">
        <v>44</v>
      </c>
      <c r="F7" s="78">
        <v>77</v>
      </c>
      <c r="G7" s="78">
        <v>1153</v>
      </c>
      <c r="H7" s="78">
        <v>454</v>
      </c>
      <c r="I7" s="79">
        <f t="shared" ref="I7" si="0">F7/(D7+E7)</f>
        <v>0.38500000000000001</v>
      </c>
      <c r="J7" s="79">
        <f t="shared" ref="J7" si="1">G7/F7</f>
        <v>14.974025974025974</v>
      </c>
      <c r="K7" s="79">
        <f t="shared" ref="K7" si="2">H7/(D7+E7)</f>
        <v>2.27</v>
      </c>
      <c r="N7" s="59" t="s">
        <v>49</v>
      </c>
      <c r="O7" s="60">
        <f>K2</f>
        <v>200</v>
      </c>
      <c r="P7" s="61">
        <f>I4</f>
        <v>77</v>
      </c>
      <c r="Q7" s="61">
        <f>J4</f>
        <v>1153</v>
      </c>
      <c r="R7" s="539">
        <f>Q7/P7</f>
        <v>14.974025974025974</v>
      </c>
      <c r="S7" s="539">
        <f>P7/O7</f>
        <v>0.38500000000000001</v>
      </c>
    </row>
    <row r="8" spans="1:19" ht="15.75">
      <c r="A8" s="80"/>
      <c r="B8" s="395"/>
      <c r="C8" s="395"/>
      <c r="D8" s="81"/>
      <c r="E8" s="81"/>
      <c r="F8" s="81"/>
      <c r="G8" s="81"/>
      <c r="H8" s="81"/>
      <c r="I8" s="79"/>
      <c r="J8" s="79"/>
      <c r="K8" s="79"/>
      <c r="N8" s="59" t="s">
        <v>50</v>
      </c>
      <c r="O8" s="60">
        <f>O7</f>
        <v>200</v>
      </c>
      <c r="P8" s="62">
        <f>O8*S7</f>
        <v>77</v>
      </c>
      <c r="Q8" s="62">
        <f>P8*R7</f>
        <v>1153</v>
      </c>
      <c r="R8" s="520"/>
      <c r="S8" s="520"/>
    </row>
    <row r="9" spans="1:19">
      <c r="A9" s="80"/>
      <c r="B9" s="372"/>
      <c r="C9" s="398"/>
      <c r="D9" s="81"/>
      <c r="E9" s="81"/>
      <c r="F9" s="81"/>
      <c r="G9" s="81"/>
      <c r="H9" s="81"/>
      <c r="I9" s="79"/>
      <c r="J9" s="79"/>
      <c r="K9" s="79"/>
      <c r="N9" s="521" t="s">
        <v>51</v>
      </c>
      <c r="O9" s="516"/>
      <c r="P9" s="516"/>
      <c r="Q9" s="516"/>
      <c r="R9" s="516"/>
      <c r="S9" s="511"/>
    </row>
    <row r="10" spans="1:19">
      <c r="A10" s="80"/>
      <c r="B10" s="401"/>
      <c r="C10" s="401"/>
      <c r="D10" s="81"/>
      <c r="E10" s="81"/>
      <c r="F10" s="81"/>
      <c r="G10" s="81"/>
      <c r="H10" s="81"/>
      <c r="I10" s="79"/>
      <c r="J10" s="79"/>
      <c r="K10" s="79"/>
      <c r="N10" s="521" t="s">
        <v>52</v>
      </c>
      <c r="O10" s="516"/>
      <c r="P10" s="511"/>
      <c r="Q10" s="521" t="s">
        <v>53</v>
      </c>
      <c r="R10" s="516"/>
      <c r="S10" s="511"/>
    </row>
    <row r="11" spans="1:19">
      <c r="A11" s="80"/>
      <c r="B11" s="402"/>
      <c r="C11" s="402"/>
      <c r="D11" s="81"/>
      <c r="E11" s="81"/>
      <c r="F11" s="81"/>
      <c r="G11" s="81"/>
      <c r="H11" s="81"/>
      <c r="I11" s="79"/>
      <c r="J11" s="79"/>
      <c r="K11" s="79"/>
      <c r="N11" s="59" t="s">
        <v>54</v>
      </c>
      <c r="O11" s="59" t="s">
        <v>55</v>
      </c>
      <c r="P11" s="59" t="s">
        <v>56</v>
      </c>
      <c r="Q11" s="59" t="s">
        <v>57</v>
      </c>
      <c r="R11" s="59" t="s">
        <v>55</v>
      </c>
      <c r="S11" s="59" t="s">
        <v>58</v>
      </c>
    </row>
    <row r="12" spans="1:19" ht="15.75">
      <c r="A12" s="260"/>
      <c r="B12" s="404"/>
      <c r="C12" s="404"/>
      <c r="D12" s="81"/>
      <c r="E12" s="81"/>
      <c r="F12" s="81"/>
      <c r="G12" s="81"/>
      <c r="H12" s="81"/>
      <c r="I12" s="79"/>
      <c r="J12" s="79"/>
      <c r="K12" s="79"/>
      <c r="N12" s="63">
        <v>1</v>
      </c>
      <c r="O12" s="64">
        <v>0</v>
      </c>
      <c r="P12" s="65">
        <f>O12*R7</f>
        <v>0</v>
      </c>
      <c r="Q12" s="63">
        <v>3</v>
      </c>
      <c r="R12" s="64">
        <v>30</v>
      </c>
      <c r="S12" s="65">
        <f>R12*R7</f>
        <v>449.22077922077921</v>
      </c>
    </row>
    <row r="13" spans="1:19" ht="15.75">
      <c r="A13" s="80"/>
      <c r="B13" s="262"/>
      <c r="C13" s="407"/>
      <c r="D13" s="81"/>
      <c r="E13" s="81"/>
      <c r="F13" s="81"/>
      <c r="G13" s="81"/>
      <c r="H13" s="81"/>
      <c r="I13" s="79"/>
      <c r="J13" s="79"/>
      <c r="K13" s="79"/>
      <c r="N13" s="63">
        <v>2</v>
      </c>
      <c r="O13" s="64">
        <v>0</v>
      </c>
      <c r="P13" s="65">
        <f>O13*R7</f>
        <v>0</v>
      </c>
      <c r="Q13" s="63">
        <v>4</v>
      </c>
      <c r="R13" s="64">
        <v>35</v>
      </c>
      <c r="S13" s="65">
        <f>R7*R13</f>
        <v>524.09090909090912</v>
      </c>
    </row>
    <row r="14" spans="1:19" ht="15.75">
      <c r="A14" s="80"/>
      <c r="B14" s="415"/>
      <c r="C14" s="407"/>
      <c r="D14" s="81"/>
      <c r="E14" s="81"/>
      <c r="F14" s="81"/>
      <c r="G14" s="81"/>
      <c r="H14" s="81"/>
      <c r="I14" s="79"/>
      <c r="J14" s="79"/>
      <c r="K14" s="79"/>
      <c r="N14" s="63">
        <v>3</v>
      </c>
      <c r="O14" s="64">
        <v>0</v>
      </c>
      <c r="P14" s="65">
        <f>R7*O14</f>
        <v>0</v>
      </c>
      <c r="Q14" s="63">
        <v>5</v>
      </c>
      <c r="R14" s="64">
        <v>0</v>
      </c>
      <c r="S14" s="65">
        <f>R14*R7</f>
        <v>0</v>
      </c>
    </row>
    <row r="15" spans="1:19" ht="15.75">
      <c r="A15" s="80"/>
      <c r="B15" s="415"/>
      <c r="C15" s="415"/>
      <c r="D15" s="81"/>
      <c r="E15" s="81"/>
      <c r="F15" s="81"/>
      <c r="G15" s="81"/>
      <c r="H15" s="81"/>
      <c r="I15" s="79"/>
      <c r="J15" s="79"/>
      <c r="K15" s="79"/>
      <c r="N15" s="63">
        <v>4</v>
      </c>
      <c r="O15" s="64">
        <v>0</v>
      </c>
      <c r="P15" s="65">
        <f>R7*O15</f>
        <v>0</v>
      </c>
      <c r="Q15" s="63">
        <v>1</v>
      </c>
      <c r="R15" s="64">
        <v>0</v>
      </c>
      <c r="S15" s="65">
        <f>R7*R15</f>
        <v>0</v>
      </c>
    </row>
    <row r="16" spans="1:19" ht="15.75">
      <c r="A16" s="80"/>
      <c r="B16" s="267"/>
      <c r="C16" s="267"/>
      <c r="D16" s="81"/>
      <c r="E16" s="81"/>
      <c r="F16" s="81"/>
      <c r="G16" s="81"/>
      <c r="H16" s="81"/>
      <c r="I16" s="79"/>
      <c r="J16" s="79"/>
      <c r="K16" s="79"/>
      <c r="N16" s="63">
        <v>5</v>
      </c>
      <c r="O16" s="64">
        <v>0</v>
      </c>
      <c r="P16" s="65">
        <f>R7*O16</f>
        <v>0</v>
      </c>
      <c r="Q16" s="63"/>
      <c r="R16" s="64">
        <v>0</v>
      </c>
      <c r="S16" s="65">
        <f>R7*R16</f>
        <v>0</v>
      </c>
    </row>
    <row r="17" spans="1:19" ht="15.75">
      <c r="A17" s="80"/>
      <c r="B17" s="250"/>
      <c r="C17" s="268"/>
      <c r="D17" s="81"/>
      <c r="E17" s="81"/>
      <c r="F17" s="81"/>
      <c r="G17" s="81"/>
      <c r="H17" s="81"/>
      <c r="I17" s="79"/>
      <c r="J17" s="79"/>
      <c r="K17" s="79"/>
      <c r="N17" s="63">
        <v>6</v>
      </c>
      <c r="O17" s="64">
        <v>0</v>
      </c>
      <c r="P17" s="65">
        <f>R7*O17</f>
        <v>0</v>
      </c>
      <c r="Q17" s="63"/>
      <c r="R17" s="64">
        <v>0</v>
      </c>
      <c r="S17" s="65">
        <f>R7*R17</f>
        <v>0</v>
      </c>
    </row>
    <row r="18" spans="1:19" ht="15.75">
      <c r="A18" s="80"/>
      <c r="B18" s="272"/>
      <c r="C18" s="272"/>
      <c r="D18" s="81"/>
      <c r="E18" s="81"/>
      <c r="F18" s="81"/>
      <c r="G18" s="81"/>
      <c r="H18" s="81"/>
      <c r="I18" s="79"/>
      <c r="J18" s="79"/>
      <c r="K18" s="79"/>
      <c r="N18" s="63">
        <v>7</v>
      </c>
      <c r="O18" s="64">
        <v>0</v>
      </c>
      <c r="P18" s="65">
        <f>R7*O18</f>
        <v>0</v>
      </c>
      <c r="Q18" s="63"/>
      <c r="R18" s="64">
        <v>0</v>
      </c>
      <c r="S18" s="65">
        <f>R7*R18</f>
        <v>0</v>
      </c>
    </row>
    <row r="19" spans="1:19" ht="15.75">
      <c r="A19" s="80"/>
      <c r="B19" s="252"/>
      <c r="C19" s="252"/>
      <c r="D19" s="81"/>
      <c r="E19" s="81"/>
      <c r="F19" s="81"/>
      <c r="G19" s="81"/>
      <c r="H19" s="81"/>
      <c r="I19" s="79"/>
      <c r="J19" s="79"/>
      <c r="K19" s="79"/>
      <c r="N19" s="63">
        <v>8</v>
      </c>
      <c r="O19" s="64">
        <v>0</v>
      </c>
      <c r="P19" s="65">
        <f>R7*O19</f>
        <v>0</v>
      </c>
      <c r="Q19" s="63"/>
      <c r="R19" s="64">
        <v>0</v>
      </c>
      <c r="S19" s="65">
        <f>R7*R19</f>
        <v>0</v>
      </c>
    </row>
    <row r="20" spans="1:19" ht="15.75">
      <c r="A20" s="80"/>
      <c r="B20" s="252"/>
      <c r="C20" s="252"/>
      <c r="D20" s="81"/>
      <c r="E20" s="81"/>
      <c r="F20" s="81"/>
      <c r="G20" s="81"/>
      <c r="H20" s="81"/>
      <c r="I20" s="79"/>
      <c r="J20" s="79"/>
      <c r="K20" s="79"/>
      <c r="N20" s="63">
        <v>9</v>
      </c>
      <c r="O20" s="64">
        <v>0</v>
      </c>
      <c r="P20" s="65">
        <f>R7*O20</f>
        <v>0</v>
      </c>
      <c r="Q20" s="63"/>
      <c r="R20" s="64">
        <v>0</v>
      </c>
      <c r="S20" s="65">
        <f>R7*R20</f>
        <v>0</v>
      </c>
    </row>
    <row r="21" spans="1:19" ht="15.75" customHeight="1">
      <c r="A21" s="80"/>
      <c r="B21" s="252"/>
      <c r="C21" s="252"/>
      <c r="D21" s="81"/>
      <c r="E21" s="81"/>
      <c r="F21" s="81"/>
      <c r="G21" s="81"/>
      <c r="H21" s="81"/>
      <c r="I21" s="79"/>
      <c r="J21" s="79"/>
      <c r="K21" s="79"/>
      <c r="N21" s="68" t="s">
        <v>53</v>
      </c>
      <c r="O21" s="64">
        <v>0</v>
      </c>
      <c r="P21" s="65">
        <f>R7*O21</f>
        <v>0</v>
      </c>
      <c r="Q21" s="63"/>
      <c r="R21" s="64"/>
      <c r="S21" s="65">
        <f>R7*R21</f>
        <v>0</v>
      </c>
    </row>
    <row r="22" spans="1:19" ht="15.75" customHeight="1">
      <c r="A22" s="80"/>
      <c r="B22" s="253"/>
      <c r="C22" s="253"/>
      <c r="D22" s="81"/>
      <c r="E22" s="81"/>
      <c r="F22" s="81"/>
      <c r="G22" s="81"/>
      <c r="H22" s="81"/>
      <c r="I22" s="79"/>
      <c r="J22" s="79"/>
      <c r="K22" s="79"/>
      <c r="N22" s="59" t="s">
        <v>59</v>
      </c>
      <c r="O22" s="69">
        <f>P8-O12-O13-O14-O15-O16-O17-O18-O19-O20-O21</f>
        <v>77</v>
      </c>
      <c r="P22" s="69">
        <f>Q8-P12-P13-P14-P15-P16-P17-P18-P19-P20-P21</f>
        <v>1153</v>
      </c>
      <c r="Q22" s="59" t="s">
        <v>59</v>
      </c>
      <c r="R22" s="69">
        <f>P8-R12-R13-R14-R15-R16-R17-R18-R19-R20-R21</f>
        <v>12</v>
      </c>
      <c r="S22" s="69">
        <f>Q8-S12-S13-S14-S15-S16-S17-S18-S19-S20-S21</f>
        <v>179.68831168831173</v>
      </c>
    </row>
    <row r="23" spans="1:19" ht="15.75" customHeight="1">
      <c r="A23" s="80"/>
      <c r="B23" s="254"/>
      <c r="C23" s="254"/>
      <c r="D23" s="81"/>
      <c r="E23" s="81"/>
      <c r="F23" s="81"/>
      <c r="G23" s="81"/>
      <c r="H23" s="81"/>
      <c r="I23" s="79"/>
      <c r="J23" s="79"/>
      <c r="K23" s="79"/>
      <c r="N23" s="59" t="s">
        <v>60</v>
      </c>
      <c r="O23" s="62">
        <f>O12+O13+O14+O15+O16+O17+O18+O19+O20+O21</f>
        <v>0</v>
      </c>
      <c r="P23" s="62">
        <f>P12+P13+P14+P15+P16+P17+P18+P19+P20+P21</f>
        <v>0</v>
      </c>
      <c r="Q23" s="59" t="s">
        <v>60</v>
      </c>
      <c r="R23" s="62">
        <f>R12+R13+R14+R15+R16+R17+R18+R19+R20+R21</f>
        <v>65</v>
      </c>
      <c r="S23" s="62">
        <f>S12+S13+S14+S15+S16+S17+S18+S19+S20+S21</f>
        <v>973.31168831168839</v>
      </c>
    </row>
    <row r="24" spans="1:19" ht="15.75" customHeight="1">
      <c r="A24" s="80"/>
      <c r="B24" s="230"/>
      <c r="C24" s="230"/>
      <c r="D24" s="81"/>
      <c r="E24" s="81"/>
      <c r="F24" s="81"/>
      <c r="G24" s="81"/>
      <c r="H24" s="81"/>
      <c r="I24" s="79"/>
      <c r="J24" s="79"/>
      <c r="K24" s="79"/>
    </row>
    <row r="25" spans="1:19" ht="15.75" customHeight="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</row>
    <row r="26" spans="1:19" ht="15.75" customHeight="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</row>
    <row r="27" spans="1:19" ht="15.75" customHeight="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</row>
    <row r="28" spans="1:19" ht="15.75" customHeight="1"/>
    <row r="29" spans="1:19" ht="15.75" customHeight="1"/>
    <row r="30" spans="1:19" ht="15.75" customHeight="1"/>
    <row r="31" spans="1:19" ht="15.75" customHeight="1"/>
    <row r="32" spans="1:1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spans="14:19" ht="15.75" customHeight="1"/>
    <row r="50" spans="14:19" ht="15.75" customHeight="1"/>
    <row r="51" spans="14:19" ht="15.75" customHeight="1"/>
    <row r="52" spans="14:19" ht="15.75" customHeight="1"/>
    <row r="53" spans="14:19" ht="15.75" customHeight="1"/>
    <row r="54" spans="14:19" ht="15.75" customHeight="1"/>
    <row r="55" spans="14:19" ht="15.75" customHeight="1">
      <c r="N55" s="67"/>
      <c r="O55" s="67"/>
      <c r="P55" s="67"/>
      <c r="Q55" s="67"/>
      <c r="R55" s="67"/>
      <c r="S55" s="67"/>
    </row>
    <row r="56" spans="14:19" ht="15.75" customHeight="1">
      <c r="N56" s="72"/>
      <c r="O56" s="72"/>
      <c r="P56" s="72"/>
      <c r="Q56" s="72"/>
      <c r="R56" s="72"/>
      <c r="S56" s="72"/>
    </row>
    <row r="57" spans="14:19" ht="15.75" customHeight="1"/>
    <row r="58" spans="14:19" ht="15.75" customHeight="1"/>
    <row r="59" spans="14:19" ht="15.75" customHeight="1"/>
    <row r="60" spans="14:19" ht="15.75" customHeight="1"/>
    <row r="61" spans="14:19" ht="15.75" customHeight="1"/>
    <row r="62" spans="14:19" ht="15.75" customHeight="1"/>
    <row r="63" spans="14:19" ht="15.75" customHeight="1"/>
    <row r="64" spans="14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6F" sheet="1" objects="1" scenarios="1"/>
  <mergeCells count="34">
    <mergeCell ref="N10:P10"/>
    <mergeCell ref="Q10:S10"/>
    <mergeCell ref="Q5:Q6"/>
    <mergeCell ref="R5:R6"/>
    <mergeCell ref="S5:S6"/>
    <mergeCell ref="R7:R8"/>
    <mergeCell ref="S7:S8"/>
    <mergeCell ref="N9:S9"/>
    <mergeCell ref="P5:P6"/>
    <mergeCell ref="I5:I6"/>
    <mergeCell ref="J5:J6"/>
    <mergeCell ref="K5:K6"/>
    <mergeCell ref="N5:N6"/>
    <mergeCell ref="O5:O6"/>
    <mergeCell ref="C4:D4"/>
    <mergeCell ref="E4:F4"/>
    <mergeCell ref="G4:H4"/>
    <mergeCell ref="A5:A6"/>
    <mergeCell ref="B5:B6"/>
    <mergeCell ref="C5:C6"/>
    <mergeCell ref="D5:D6"/>
    <mergeCell ref="E5:E6"/>
    <mergeCell ref="F5:G5"/>
    <mergeCell ref="H5:H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" footer="0"/>
  <pageSetup paperSize="9" orientation="portrait"/>
</worksheet>
</file>

<file path=xl/worksheets/sheet93.xml><?xml version="1.0" encoding="utf-8"?>
<worksheet xmlns="http://schemas.openxmlformats.org/spreadsheetml/2006/main" xmlns:r="http://schemas.openxmlformats.org/officeDocument/2006/relationships">
  <dimension ref="A1:K27"/>
  <sheetViews>
    <sheetView workbookViewId="0">
      <selection sqref="A1:K27"/>
    </sheetView>
  </sheetViews>
  <sheetFormatPr defaultRowHeight="15"/>
  <cols>
    <col min="1" max="1" width="10.140625" bestFit="1" customWidth="1"/>
  </cols>
  <sheetData>
    <row r="1" spans="1:11">
      <c r="A1" s="515" t="s">
        <v>0</v>
      </c>
      <c r="B1" s="516"/>
      <c r="C1" s="516"/>
      <c r="D1" s="516"/>
      <c r="E1" s="516"/>
      <c r="F1" s="511"/>
      <c r="G1" s="517"/>
      <c r="H1" s="511"/>
      <c r="I1" s="518" t="s">
        <v>85</v>
      </c>
      <c r="J1" s="516"/>
      <c r="K1" s="511"/>
    </row>
    <row r="2" spans="1:11">
      <c r="A2" s="519" t="s">
        <v>1</v>
      </c>
      <c r="B2" s="519" t="s">
        <v>2</v>
      </c>
      <c r="C2" s="521" t="s">
        <v>3</v>
      </c>
      <c r="D2" s="516"/>
      <c r="E2" s="516"/>
      <c r="F2" s="516"/>
      <c r="G2" s="516"/>
      <c r="H2" s="511"/>
      <c r="I2" s="518" t="s">
        <v>4</v>
      </c>
      <c r="J2" s="511"/>
      <c r="K2" s="57">
        <v>200</v>
      </c>
    </row>
    <row r="3" spans="1:11">
      <c r="A3" s="520"/>
      <c r="B3" s="520"/>
      <c r="C3" s="521" t="s">
        <v>5</v>
      </c>
      <c r="D3" s="511"/>
      <c r="E3" s="521" t="s">
        <v>6</v>
      </c>
      <c r="F3" s="511"/>
      <c r="G3" s="521" t="s">
        <v>7</v>
      </c>
      <c r="H3" s="511"/>
      <c r="I3" s="51" t="s">
        <v>8</v>
      </c>
      <c r="J3" s="51" t="s">
        <v>9</v>
      </c>
      <c r="K3" s="51" t="s">
        <v>10</v>
      </c>
    </row>
    <row r="4" spans="1:11">
      <c r="A4" s="73" t="s">
        <v>66</v>
      </c>
      <c r="B4" s="73" t="s">
        <v>112</v>
      </c>
      <c r="C4" s="510">
        <f>AVERAGEA(I7:I44)</f>
        <v>0.61339251546184437</v>
      </c>
      <c r="D4" s="511"/>
      <c r="E4" s="510">
        <f>AVERAGEA(J7:J44)</f>
        <v>13.444720339418859</v>
      </c>
      <c r="F4" s="511"/>
      <c r="G4" s="510">
        <f>AVERAGEA(K7:K44)</f>
        <v>2.3558983303665642</v>
      </c>
      <c r="H4" s="511"/>
      <c r="I4" s="74">
        <f>C4*K2</f>
        <v>122.67850309236887</v>
      </c>
      <c r="J4" s="74">
        <f>I4*E4</f>
        <v>1649.3781657354311</v>
      </c>
      <c r="K4" s="74">
        <f>K2*G4</f>
        <v>471.17966607331283</v>
      </c>
    </row>
    <row r="5" spans="1:11">
      <c r="A5" s="514" t="s">
        <v>13</v>
      </c>
      <c r="B5" s="514" t="s">
        <v>14</v>
      </c>
      <c r="C5" s="514" t="s">
        <v>15</v>
      </c>
      <c r="D5" s="514" t="s">
        <v>16</v>
      </c>
      <c r="E5" s="514" t="s">
        <v>17</v>
      </c>
      <c r="F5" s="512" t="s">
        <v>18</v>
      </c>
      <c r="G5" s="511"/>
      <c r="H5" s="513" t="s">
        <v>19</v>
      </c>
      <c r="I5" s="508" t="s">
        <v>5</v>
      </c>
      <c r="J5" s="508" t="s">
        <v>6</v>
      </c>
      <c r="K5" s="508" t="s">
        <v>7</v>
      </c>
    </row>
    <row r="6" spans="1:11">
      <c r="A6" s="509"/>
      <c r="B6" s="509"/>
      <c r="C6" s="509"/>
      <c r="D6" s="509"/>
      <c r="E6" s="509"/>
      <c r="F6" s="75" t="s">
        <v>20</v>
      </c>
      <c r="G6" s="76" t="s">
        <v>21</v>
      </c>
      <c r="H6" s="509"/>
      <c r="I6" s="509"/>
      <c r="J6" s="509"/>
      <c r="K6" s="509"/>
    </row>
    <row r="7" spans="1:11">
      <c r="A7" s="77">
        <v>45931</v>
      </c>
      <c r="B7" s="78" t="s">
        <v>125</v>
      </c>
      <c r="C7" s="78" t="s">
        <v>65</v>
      </c>
      <c r="D7" s="78">
        <v>90</v>
      </c>
      <c r="E7" s="78">
        <v>5</v>
      </c>
      <c r="F7" s="78">
        <v>47</v>
      </c>
      <c r="G7" s="78">
        <v>678</v>
      </c>
      <c r="H7" s="78">
        <v>283</v>
      </c>
      <c r="I7" s="79">
        <f t="shared" ref="I7:I14" si="0">F7/(D7+E7)</f>
        <v>0.49473684210526314</v>
      </c>
      <c r="J7" s="79">
        <f t="shared" ref="J7:J14" si="1">G7/F7</f>
        <v>14.425531914893616</v>
      </c>
      <c r="K7" s="79">
        <f t="shared" ref="K7:K14" si="2">H7/(D7+E7)</f>
        <v>2.9789473684210526</v>
      </c>
    </row>
    <row r="8" spans="1:11">
      <c r="A8" s="80">
        <v>45934</v>
      </c>
      <c r="B8" s="256" t="s">
        <v>125</v>
      </c>
      <c r="C8" s="256" t="s">
        <v>65</v>
      </c>
      <c r="D8" s="81">
        <v>99</v>
      </c>
      <c r="E8" s="81">
        <v>9</v>
      </c>
      <c r="F8" s="81">
        <v>57</v>
      </c>
      <c r="G8" s="81">
        <v>738</v>
      </c>
      <c r="H8" s="81">
        <v>263</v>
      </c>
      <c r="I8" s="79">
        <f t="shared" si="0"/>
        <v>0.52777777777777779</v>
      </c>
      <c r="J8" s="79">
        <f t="shared" si="1"/>
        <v>12.947368421052632</v>
      </c>
      <c r="K8" s="79">
        <f t="shared" si="2"/>
        <v>2.4351851851851851</v>
      </c>
    </row>
    <row r="9" spans="1:11">
      <c r="A9" s="80">
        <v>45938</v>
      </c>
      <c r="B9" s="258" t="s">
        <v>125</v>
      </c>
      <c r="C9" s="258" t="s">
        <v>65</v>
      </c>
      <c r="D9" s="81">
        <v>96</v>
      </c>
      <c r="E9" s="81">
        <v>14</v>
      </c>
      <c r="F9" s="81">
        <v>71</v>
      </c>
      <c r="G9" s="81">
        <v>993</v>
      </c>
      <c r="H9" s="81">
        <v>364</v>
      </c>
      <c r="I9" s="79">
        <f t="shared" si="0"/>
        <v>0.6454545454545455</v>
      </c>
      <c r="J9" s="79">
        <f t="shared" si="1"/>
        <v>13.985915492957746</v>
      </c>
      <c r="K9" s="79">
        <f t="shared" si="2"/>
        <v>3.3090909090909091</v>
      </c>
    </row>
    <row r="10" spans="1:11">
      <c r="A10" s="80">
        <v>45941</v>
      </c>
      <c r="B10" s="259" t="s">
        <v>125</v>
      </c>
      <c r="C10" s="259" t="s">
        <v>65</v>
      </c>
      <c r="D10" s="81">
        <v>95</v>
      </c>
      <c r="E10" s="81">
        <v>14</v>
      </c>
      <c r="F10" s="81">
        <v>70</v>
      </c>
      <c r="G10" s="81">
        <v>962</v>
      </c>
      <c r="H10" s="81">
        <v>122</v>
      </c>
      <c r="I10" s="79">
        <f t="shared" si="0"/>
        <v>0.64220183486238536</v>
      </c>
      <c r="J10" s="79">
        <f t="shared" si="1"/>
        <v>13.742857142857142</v>
      </c>
      <c r="K10" s="79">
        <f t="shared" si="2"/>
        <v>1.1192660550458715</v>
      </c>
    </row>
    <row r="11" spans="1:11">
      <c r="A11" s="80">
        <v>45945</v>
      </c>
      <c r="B11" s="261" t="s">
        <v>125</v>
      </c>
      <c r="C11" s="261" t="s">
        <v>65</v>
      </c>
      <c r="D11" s="81">
        <v>94</v>
      </c>
      <c r="E11" s="81">
        <v>10</v>
      </c>
      <c r="F11" s="81">
        <v>63</v>
      </c>
      <c r="G11" s="81">
        <v>924</v>
      </c>
      <c r="H11" s="81">
        <v>257</v>
      </c>
      <c r="I11" s="79">
        <f t="shared" si="0"/>
        <v>0.60576923076923073</v>
      </c>
      <c r="J11" s="79">
        <f t="shared" si="1"/>
        <v>14.666666666666666</v>
      </c>
      <c r="K11" s="79">
        <f t="shared" si="2"/>
        <v>2.4711538461538463</v>
      </c>
    </row>
    <row r="12" spans="1:11">
      <c r="A12" s="80">
        <v>45948</v>
      </c>
      <c r="B12" s="264" t="s">
        <v>125</v>
      </c>
      <c r="C12" s="264" t="s">
        <v>65</v>
      </c>
      <c r="D12" s="81">
        <v>98</v>
      </c>
      <c r="E12" s="81">
        <v>1</v>
      </c>
      <c r="F12" s="81">
        <v>70</v>
      </c>
      <c r="G12" s="81">
        <v>847</v>
      </c>
      <c r="H12" s="81">
        <v>134</v>
      </c>
      <c r="I12" s="79">
        <f t="shared" si="0"/>
        <v>0.70707070707070707</v>
      </c>
      <c r="J12" s="79">
        <f t="shared" si="1"/>
        <v>12.1</v>
      </c>
      <c r="K12" s="79">
        <f t="shared" si="2"/>
        <v>1.3535353535353536</v>
      </c>
    </row>
    <row r="13" spans="1:11">
      <c r="A13" s="80">
        <v>45952</v>
      </c>
      <c r="B13" s="266" t="s">
        <v>125</v>
      </c>
      <c r="C13" s="266" t="s">
        <v>65</v>
      </c>
      <c r="D13" s="81">
        <v>97</v>
      </c>
      <c r="E13" s="81">
        <v>1</v>
      </c>
      <c r="F13" s="81">
        <v>64</v>
      </c>
      <c r="G13" s="81">
        <v>820</v>
      </c>
      <c r="H13" s="81">
        <v>285</v>
      </c>
      <c r="I13" s="79">
        <f t="shared" si="0"/>
        <v>0.65306122448979587</v>
      </c>
      <c r="J13" s="79">
        <f t="shared" si="1"/>
        <v>12.8125</v>
      </c>
      <c r="K13" s="79">
        <f t="shared" si="2"/>
        <v>2.9081632653061225</v>
      </c>
    </row>
    <row r="14" spans="1:11">
      <c r="A14" s="80">
        <v>45955</v>
      </c>
      <c r="B14" s="269" t="s">
        <v>125</v>
      </c>
      <c r="C14" s="269" t="s">
        <v>65</v>
      </c>
      <c r="D14" s="81">
        <v>99</v>
      </c>
      <c r="E14" s="81">
        <v>4</v>
      </c>
      <c r="F14" s="81">
        <v>65</v>
      </c>
      <c r="G14" s="81">
        <v>837</v>
      </c>
      <c r="H14" s="81">
        <v>234</v>
      </c>
      <c r="I14" s="79">
        <f t="shared" si="0"/>
        <v>0.6310679611650486</v>
      </c>
      <c r="J14" s="79">
        <f t="shared" si="1"/>
        <v>12.876923076923077</v>
      </c>
      <c r="K14" s="79">
        <f t="shared" si="2"/>
        <v>2.2718446601941746</v>
      </c>
    </row>
    <row r="15" spans="1:11">
      <c r="A15" s="80"/>
      <c r="B15" s="241"/>
      <c r="C15" s="241"/>
      <c r="D15" s="81"/>
      <c r="E15" s="81"/>
      <c r="F15" s="81"/>
      <c r="G15" s="81"/>
      <c r="H15" s="81"/>
      <c r="I15" s="79"/>
      <c r="J15" s="79"/>
      <c r="K15" s="79"/>
    </row>
    <row r="16" spans="1:11">
      <c r="A16" s="80"/>
      <c r="B16" s="153"/>
      <c r="C16" s="170"/>
      <c r="D16" s="81"/>
      <c r="E16" s="81"/>
      <c r="F16" s="81"/>
      <c r="G16" s="81"/>
      <c r="H16" s="81"/>
      <c r="I16" s="79"/>
      <c r="J16" s="79"/>
      <c r="K16" s="79"/>
    </row>
    <row r="17" spans="1:11">
      <c r="A17" s="80"/>
      <c r="B17" s="81"/>
      <c r="C17" s="155"/>
      <c r="D17" s="81"/>
      <c r="E17" s="81"/>
      <c r="F17" s="81"/>
      <c r="G17" s="81"/>
      <c r="H17" s="81"/>
      <c r="I17" s="79"/>
      <c r="J17" s="79"/>
      <c r="K17" s="79"/>
    </row>
    <row r="18" spans="1:11">
      <c r="A18" s="80"/>
      <c r="B18" s="138"/>
      <c r="C18" s="155"/>
      <c r="D18" s="81"/>
      <c r="E18" s="81"/>
      <c r="F18" s="81"/>
      <c r="G18" s="81"/>
      <c r="H18" s="81"/>
      <c r="I18" s="79"/>
      <c r="J18" s="79"/>
      <c r="K18" s="79"/>
    </row>
    <row r="19" spans="1:11">
      <c r="A19" s="80"/>
      <c r="B19" s="81"/>
      <c r="C19" s="155"/>
      <c r="D19" s="81"/>
      <c r="E19" s="81"/>
      <c r="F19" s="81"/>
      <c r="G19" s="81"/>
      <c r="H19" s="81"/>
      <c r="I19" s="79"/>
      <c r="J19" s="79"/>
      <c r="K19" s="79"/>
    </row>
    <row r="20" spans="1:11">
      <c r="A20" s="80"/>
      <c r="B20" s="81"/>
      <c r="C20" s="157"/>
      <c r="D20" s="81"/>
      <c r="E20" s="81"/>
      <c r="F20" s="81"/>
      <c r="G20" s="81"/>
      <c r="H20" s="81"/>
      <c r="I20" s="79"/>
      <c r="J20" s="79"/>
      <c r="K20" s="79"/>
    </row>
    <row r="21" spans="1:11">
      <c r="A21" s="80"/>
      <c r="B21" s="157"/>
      <c r="C21" s="157"/>
      <c r="D21" s="81"/>
      <c r="E21" s="81"/>
      <c r="F21" s="81"/>
      <c r="G21" s="81"/>
      <c r="H21" s="81"/>
      <c r="I21" s="79"/>
      <c r="J21" s="79"/>
      <c r="K21" s="79"/>
    </row>
    <row r="22" spans="1:11">
      <c r="A22" s="80"/>
      <c r="B22" s="145"/>
      <c r="C22" s="158"/>
      <c r="D22" s="81"/>
      <c r="E22" s="81"/>
      <c r="F22" s="81"/>
      <c r="G22" s="81"/>
      <c r="H22" s="81"/>
      <c r="I22" s="79"/>
      <c r="J22" s="79"/>
      <c r="K22" s="79"/>
    </row>
    <row r="23" spans="1:11">
      <c r="A23" s="80"/>
      <c r="B23" s="130"/>
      <c r="C23" s="146"/>
      <c r="D23" s="81"/>
      <c r="E23" s="81"/>
      <c r="F23" s="81"/>
      <c r="G23" s="81"/>
      <c r="H23" s="81"/>
      <c r="I23" s="79"/>
      <c r="J23" s="79"/>
      <c r="K23" s="79"/>
    </row>
    <row r="24" spans="1:11">
      <c r="A24" s="80"/>
      <c r="B24" s="81"/>
      <c r="C24" s="148"/>
      <c r="D24" s="81"/>
      <c r="E24" s="81"/>
      <c r="F24" s="81"/>
      <c r="G24" s="81"/>
      <c r="H24" s="81"/>
      <c r="I24" s="79"/>
      <c r="J24" s="79"/>
      <c r="K24" s="79"/>
    </row>
    <row r="25" spans="1:1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</row>
    <row r="26" spans="1:1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</row>
    <row r="27" spans="1:1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</row>
  </sheetData>
  <sheetProtection password="CC6F" sheet="1" objects="1" scenarios="1"/>
  <mergeCells count="23">
    <mergeCell ref="I5:I6"/>
    <mergeCell ref="J5:J6"/>
    <mergeCell ref="K5:K6"/>
    <mergeCell ref="C4:D4"/>
    <mergeCell ref="E4:F4"/>
    <mergeCell ref="G4:H4"/>
    <mergeCell ref="F5:G5"/>
    <mergeCell ref="H5:H6"/>
    <mergeCell ref="A5:A6"/>
    <mergeCell ref="B5:B6"/>
    <mergeCell ref="C5:C6"/>
    <mergeCell ref="D5:D6"/>
    <mergeCell ref="E5:E6"/>
    <mergeCell ref="A1:F1"/>
    <mergeCell ref="G1:H1"/>
    <mergeCell ref="I1:K1"/>
    <mergeCell ref="A2:A3"/>
    <mergeCell ref="B2:B3"/>
    <mergeCell ref="C2:H2"/>
    <mergeCell ref="I2:J2"/>
    <mergeCell ref="C3:D3"/>
    <mergeCell ref="E3:F3"/>
    <mergeCell ref="G3:H3"/>
  </mergeCells>
  <dataValidations count="1">
    <dataValidation type="date" allowBlank="1" showErrorMessage="1" sqref="G1">
      <formula1>44927</formula1>
      <formula2>45261</formula2>
    </dataValidation>
  </dataValidation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B2:H11"/>
  <sheetViews>
    <sheetView workbookViewId="0">
      <selection activeCell="T36" sqref="T36"/>
    </sheetView>
  </sheetViews>
  <sheetFormatPr defaultRowHeight="15"/>
  <sheetData>
    <row r="2" spans="2:8">
      <c r="B2">
        <v>69</v>
      </c>
      <c r="C2">
        <v>104</v>
      </c>
      <c r="D2">
        <v>80</v>
      </c>
      <c r="E2">
        <f>(B2+C2)*D2</f>
        <v>13840</v>
      </c>
    </row>
    <row r="3" spans="2:8">
      <c r="B3">
        <f>B2</f>
        <v>69</v>
      </c>
      <c r="C3">
        <f>C2</f>
        <v>104</v>
      </c>
      <c r="D3">
        <v>75</v>
      </c>
      <c r="E3">
        <f>(B3+C3)*D3</f>
        <v>12975</v>
      </c>
    </row>
    <row r="4" spans="2:8">
      <c r="D4">
        <v>16914</v>
      </c>
      <c r="E4">
        <f>E2-E3</f>
        <v>865</v>
      </c>
      <c r="F4">
        <f>D4-E4</f>
        <v>16049</v>
      </c>
    </row>
    <row r="7" spans="2:8">
      <c r="F7">
        <v>1742</v>
      </c>
      <c r="G7" t="s">
        <v>119</v>
      </c>
      <c r="H7">
        <v>22589</v>
      </c>
    </row>
    <row r="8" spans="2:8">
      <c r="F8">
        <v>1628</v>
      </c>
      <c r="G8" t="s">
        <v>52</v>
      </c>
      <c r="H8">
        <v>480</v>
      </c>
    </row>
    <row r="9" spans="2:8">
      <c r="F9">
        <f>F7-F8</f>
        <v>114</v>
      </c>
      <c r="G9" t="s">
        <v>120</v>
      </c>
      <c r="H9">
        <v>0</v>
      </c>
    </row>
    <row r="10" spans="2:8">
      <c r="G10" t="s">
        <v>121</v>
      </c>
    </row>
    <row r="11" spans="2:8">
      <c r="H11">
        <f>H7+H8+H9+H10</f>
        <v>23069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95</vt:i4>
      </vt:variant>
    </vt:vector>
  </HeadingPairs>
  <TitlesOfParts>
    <vt:vector size="95" baseType="lpstr">
      <vt:lpstr>TABLE</vt:lpstr>
      <vt:lpstr>REN_AER 07_2026</vt:lpstr>
      <vt:lpstr>REN_RGK 08_2024</vt:lpstr>
      <vt:lpstr>REN80_SVO 04_2026</vt:lpstr>
      <vt:lpstr>REN82_SVO 03_2024</vt:lpstr>
      <vt:lpstr>REN84_SVO 10_2024</vt:lpstr>
      <vt:lpstr>REN78_SVO 04_2026</vt:lpstr>
      <vt:lpstr>REN_LED 07_2026</vt:lpstr>
      <vt:lpstr>REN_MCX 10_2024</vt:lpstr>
      <vt:lpstr>REN_MRV 03_2025</vt:lpstr>
      <vt:lpstr>REN_MQF 10_2025</vt:lpstr>
      <vt:lpstr>REN_KGD 10_2025</vt:lpstr>
      <vt:lpstr>REN_KZN 03_2025</vt:lpstr>
      <vt:lpstr>REN_LBD 05_2024</vt:lpstr>
      <vt:lpstr>REN_DYU 05_2024</vt:lpstr>
      <vt:lpstr>OSS_UFA 03_2024</vt:lpstr>
      <vt:lpstr>OSS_TJM 07_2026</vt:lpstr>
      <vt:lpstr>OSS_OMS</vt:lpstr>
      <vt:lpstr>OSS_KUF 03_2024</vt:lpstr>
      <vt:lpstr>OSS_KEJ</vt:lpstr>
      <vt:lpstr>OSS_KJA 06_2023</vt:lpstr>
      <vt:lpstr>LBD_TJM 05_26</vt:lpstr>
      <vt:lpstr>LBD_UFA 07_2026</vt:lpstr>
      <vt:lpstr>LBD_KZN 07_2026</vt:lpstr>
      <vt:lpstr>LBD_REN 05_2024</vt:lpstr>
      <vt:lpstr>HOG_SVO 02_26</vt:lpstr>
      <vt:lpstr>HRG_SVO 10_2023</vt:lpstr>
      <vt:lpstr>KQT_SVO 07_2026</vt:lpstr>
      <vt:lpstr>KQT_KZN 07_2026</vt:lpstr>
      <vt:lpstr>KQT_UFA 07_2026</vt:lpstr>
      <vt:lpstr>KQT_KJA 07_2023</vt:lpstr>
      <vt:lpstr>DYU_UFA 07_2026</vt:lpstr>
      <vt:lpstr>DYU_KZN 07_2026</vt:lpstr>
      <vt:lpstr>DYU_KUF 03_2024</vt:lpstr>
      <vt:lpstr>DYU_REN 05_2024</vt:lpstr>
      <vt:lpstr>DYU_TJM 07_2026</vt:lpstr>
      <vt:lpstr>CCC_SVO 02_2026</vt:lpstr>
      <vt:lpstr>GOX_SVO 03_26</vt:lpstr>
      <vt:lpstr>GOX_SVX 03_26</vt:lpstr>
      <vt:lpstr>VRA_SVO 02_2026</vt:lpstr>
      <vt:lpstr>VRA_SVO 6102 12_2025</vt:lpstr>
      <vt:lpstr>PMV_SVO 12_2025</vt:lpstr>
      <vt:lpstr>UTP_KJA 04_2026</vt:lpstr>
      <vt:lpstr>UTP_OVB 04_2026</vt:lpstr>
      <vt:lpstr>UTP_SVO 01_26</vt:lpstr>
      <vt:lpstr>UTP_SVX 04_26</vt:lpstr>
      <vt:lpstr>SSH_KZN 01_2026</vt:lpstr>
      <vt:lpstr>SSH_UFA 01_2026</vt:lpstr>
      <vt:lpstr>SSH_ZIA_09.2023</vt:lpstr>
      <vt:lpstr>SSH_SVO 01_2026</vt:lpstr>
      <vt:lpstr>SSH_SVX 01_2026</vt:lpstr>
      <vt:lpstr>SSH_LED 11_2025</vt:lpstr>
      <vt:lpstr>SSH_MRV 01_26</vt:lpstr>
      <vt:lpstr>SSH_OMS 01_26</vt:lpstr>
      <vt:lpstr>SSH_PEE 01_26</vt:lpstr>
      <vt:lpstr>SSH_TJM 01_26</vt:lpstr>
      <vt:lpstr>SUI_CEK 07_26</vt:lpstr>
      <vt:lpstr>SUI_GOJ 07_26</vt:lpstr>
      <vt:lpstr>SUI_LED 07_26</vt:lpstr>
      <vt:lpstr>SUI_SVO 07_26</vt:lpstr>
      <vt:lpstr>SUI_UFA 07_26</vt:lpstr>
      <vt:lpstr>AER_AYT 10_25</vt:lpstr>
      <vt:lpstr>AER_BAX 07_26</vt:lpstr>
      <vt:lpstr>AER_CSY 07_26</vt:lpstr>
      <vt:lpstr>AER_CEK 07_26</vt:lpstr>
      <vt:lpstr>AER_GOJ 07_26</vt:lpstr>
      <vt:lpstr>AER_IWA 07_26</vt:lpstr>
      <vt:lpstr>AER_KVX 07_26</vt:lpstr>
      <vt:lpstr>AER_KZN 07_26</vt:lpstr>
      <vt:lpstr>AER_KUF 07_26</vt:lpstr>
      <vt:lpstr>AER_KJA 07_26</vt:lpstr>
      <vt:lpstr>AER_KRO 07_26</vt:lpstr>
      <vt:lpstr>AER_KEJ 07_26</vt:lpstr>
      <vt:lpstr>AER_LED 07_26</vt:lpstr>
      <vt:lpstr>AER_MQF 07_26</vt:lpstr>
      <vt:lpstr>AER_NJC 07_26</vt:lpstr>
      <vt:lpstr>AER_NBC 07_26</vt:lpstr>
      <vt:lpstr>AER_NOZ 07_26</vt:lpstr>
      <vt:lpstr>AER_OVB 12_25</vt:lpstr>
      <vt:lpstr>AER_OMS 07_26</vt:lpstr>
      <vt:lpstr>AER_OSW 07_26</vt:lpstr>
      <vt:lpstr>AER_PEE 07_26</vt:lpstr>
      <vt:lpstr>AER_REN 07_26</vt:lpstr>
      <vt:lpstr>AER_SVO 06_26</vt:lpstr>
      <vt:lpstr>AER_SVX 07_26</vt:lpstr>
      <vt:lpstr>AER_SGC 06_26</vt:lpstr>
      <vt:lpstr>AER_SKX 09_23</vt:lpstr>
      <vt:lpstr>AER_SCW 07_26</vt:lpstr>
      <vt:lpstr>AER_TOF 07_26</vt:lpstr>
      <vt:lpstr>AER_TJM 07_26</vt:lpstr>
      <vt:lpstr>AER_UFA 07_26</vt:lpstr>
      <vt:lpstr>AER_ULV 07_26</vt:lpstr>
      <vt:lpstr>AER_VOG 10_25</vt:lpstr>
      <vt:lpstr>Лист1</vt:lpstr>
      <vt:lpstr>Лист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m.kravchenko</dc:creator>
  <cp:lastModifiedBy>f.mamedov</cp:lastModifiedBy>
  <dcterms:created xsi:type="dcterms:W3CDTF">2015-06-05T18:17:20Z</dcterms:created>
  <dcterms:modified xsi:type="dcterms:W3CDTF">2026-07-17T05:52:08Z</dcterms:modified>
</cp:coreProperties>
</file>